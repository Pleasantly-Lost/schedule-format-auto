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mprotant Desktop Data\Updated Schedules\July 25\VOC July 31st\"/>
    </mc:Choice>
  </mc:AlternateContent>
  <xr:revisionPtr revIDLastSave="0" documentId="8_{D8D4A2FC-E851-4E1C-8552-52035AE3166F}" xr6:coauthVersionLast="47" xr6:coauthVersionMax="47" xr10:uidLastSave="{00000000-0000-0000-0000-000000000000}"/>
  <bookViews>
    <workbookView xWindow="-108" yWindow="-108" windowWidth="23256" windowHeight="12456" tabRatio="898" xr2:uid="{00000000-000D-0000-FFFF-FFFF00000000}"/>
  </bookViews>
  <sheets>
    <sheet name="Direct Route-3A Tue, Wed &amp; Fri" sheetId="18" r:id="rId1"/>
    <sheet name="DETAILS" sheetId="19" r:id="rId2"/>
    <sheet name="Sheet1" sheetId="20" r:id="rId3"/>
  </sheets>
  <definedNames>
    <definedName name="_xlnm.Print_Area" localSheetId="1">DETAILS!$A$10:$N$134</definedName>
    <definedName name="_xlnm.Print_Area" localSheetId="0">'Direct Route-3A Tue, Wed &amp; Fri'!$B$3:$I$47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8" l="1"/>
  <c r="G36" i="18"/>
  <c r="G37" i="18"/>
  <c r="F37" i="18" s="1"/>
  <c r="E37" i="18"/>
  <c r="D37" i="18"/>
  <c r="C37" i="18"/>
  <c r="D36" i="18"/>
  <c r="C36" i="18"/>
  <c r="D35" i="18"/>
  <c r="C35" i="18"/>
  <c r="G26" i="18"/>
  <c r="G27" i="18"/>
  <c r="D27" i="18"/>
  <c r="E27" i="18" s="1"/>
  <c r="C27" i="18"/>
  <c r="D26" i="18"/>
  <c r="C26" i="18"/>
  <c r="D25" i="18"/>
  <c r="B107" i="19"/>
  <c r="B108" i="19"/>
  <c r="B109" i="19"/>
  <c r="B110" i="19"/>
  <c r="B111" i="19"/>
  <c r="B112" i="19"/>
  <c r="B113" i="19"/>
  <c r="B114" i="19"/>
  <c r="B115" i="19"/>
  <c r="B116" i="19"/>
  <c r="B106" i="19"/>
  <c r="B84" i="19"/>
  <c r="B85" i="19"/>
  <c r="B86" i="19"/>
  <c r="B87" i="19"/>
  <c r="B88" i="19"/>
  <c r="B89" i="19"/>
  <c r="B90" i="19"/>
  <c r="B91" i="19"/>
  <c r="B92" i="19"/>
  <c r="B93" i="19"/>
  <c r="B94" i="19"/>
  <c r="B95" i="19"/>
  <c r="B83" i="19"/>
  <c r="B78" i="19"/>
  <c r="B79" i="19"/>
  <c r="B80" i="19"/>
  <c r="B81" i="19"/>
  <c r="I82" i="19"/>
  <c r="B77" i="19"/>
  <c r="N157" i="19"/>
  <c r="N158" i="19"/>
  <c r="N159" i="19"/>
  <c r="N160" i="19"/>
  <c r="N161" i="19"/>
  <c r="N162" i="19"/>
  <c r="N163" i="19"/>
  <c r="N164" i="19"/>
  <c r="N165" i="19"/>
  <c r="N166" i="19"/>
  <c r="N167" i="19"/>
  <c r="N168" i="19"/>
  <c r="J170" i="19"/>
  <c r="J173" i="19"/>
  <c r="J176" i="19"/>
  <c r="J164" i="19"/>
  <c r="J165" i="19"/>
  <c r="J166" i="19"/>
  <c r="C170" i="19"/>
  <c r="C174" i="19"/>
  <c r="C171" i="19"/>
  <c r="C172" i="19"/>
  <c r="J174" i="19" s="1"/>
  <c r="C173" i="19"/>
  <c r="J175" i="19" s="1"/>
  <c r="C165" i="19"/>
  <c r="J167" i="19" s="1"/>
  <c r="C166" i="19"/>
  <c r="J168" i="19" s="1"/>
  <c r="C167" i="19"/>
  <c r="J169" i="19" s="1"/>
  <c r="C168" i="19"/>
  <c r="C169" i="19"/>
  <c r="J171" i="19" s="1"/>
  <c r="C164" i="19"/>
  <c r="C101" i="19"/>
  <c r="J101" i="19" s="1"/>
  <c r="C102" i="19"/>
  <c r="C103" i="19"/>
  <c r="G24" i="18" s="1"/>
  <c r="C104" i="19"/>
  <c r="J104" i="19" s="1"/>
  <c r="C105" i="19"/>
  <c r="J105" i="19" s="1"/>
  <c r="C106" i="19"/>
  <c r="C107" i="19"/>
  <c r="C108" i="19"/>
  <c r="C109" i="19"/>
  <c r="J109" i="19" s="1"/>
  <c r="C110" i="19"/>
  <c r="J110" i="19" s="1"/>
  <c r="C111" i="19"/>
  <c r="J111" i="19" s="1"/>
  <c r="C112" i="19"/>
  <c r="J112" i="19" s="1"/>
  <c r="C113" i="19"/>
  <c r="J113" i="19" s="1"/>
  <c r="C114" i="19"/>
  <c r="C115" i="19"/>
  <c r="J115" i="19" s="1"/>
  <c r="C116" i="19"/>
  <c r="J116" i="19" s="1"/>
  <c r="C117" i="19"/>
  <c r="C118" i="19"/>
  <c r="C119" i="19"/>
  <c r="J119" i="19" s="1"/>
  <c r="C120" i="19"/>
  <c r="J120" i="19" s="1"/>
  <c r="C121" i="19"/>
  <c r="J121" i="19" s="1"/>
  <c r="C122" i="19"/>
  <c r="C123" i="19"/>
  <c r="J123" i="19" s="1"/>
  <c r="C124" i="19"/>
  <c r="J124" i="19" s="1"/>
  <c r="C125" i="19"/>
  <c r="J125" i="19" s="1"/>
  <c r="C126" i="19"/>
  <c r="J126" i="19" s="1"/>
  <c r="C127" i="19"/>
  <c r="C128" i="19"/>
  <c r="J128" i="19" s="1"/>
  <c r="C129" i="19"/>
  <c r="J129" i="19" s="1"/>
  <c r="J106" i="19"/>
  <c r="J114" i="19"/>
  <c r="J118" i="19"/>
  <c r="C100" i="19"/>
  <c r="C49" i="19"/>
  <c r="C50" i="19"/>
  <c r="J50" i="19" s="1"/>
  <c r="C51" i="19"/>
  <c r="J51" i="19" s="1"/>
  <c r="C52" i="19"/>
  <c r="J52" i="19" s="1"/>
  <c r="C53" i="19"/>
  <c r="J53" i="19" s="1"/>
  <c r="C54" i="19"/>
  <c r="C55" i="19"/>
  <c r="C56" i="19"/>
  <c r="J56" i="19" s="1"/>
  <c r="C57" i="19"/>
  <c r="C58" i="19"/>
  <c r="J58" i="19" s="1"/>
  <c r="C59" i="19"/>
  <c r="J59" i="19" s="1"/>
  <c r="C60" i="19"/>
  <c r="J60" i="19" s="1"/>
  <c r="C61" i="19"/>
  <c r="C62" i="19"/>
  <c r="C63" i="19"/>
  <c r="C64" i="19"/>
  <c r="C65" i="19"/>
  <c r="C66" i="19"/>
  <c r="C67" i="19"/>
  <c r="J67" i="19" s="1"/>
  <c r="C68" i="19"/>
  <c r="J68" i="19" s="1"/>
  <c r="C69" i="19"/>
  <c r="C70" i="19"/>
  <c r="J70" i="19" s="1"/>
  <c r="C71" i="19"/>
  <c r="C72" i="19"/>
  <c r="J72" i="19" s="1"/>
  <c r="C73" i="19"/>
  <c r="J73" i="19" s="1"/>
  <c r="C74" i="19"/>
  <c r="J74" i="19" s="1"/>
  <c r="C75" i="19"/>
  <c r="J75" i="19" s="1"/>
  <c r="J57" i="19"/>
  <c r="J66" i="19"/>
  <c r="J69" i="19"/>
  <c r="J71" i="19"/>
  <c r="C46" i="19"/>
  <c r="C47" i="19"/>
  <c r="J47" i="19" s="1"/>
  <c r="C48" i="19"/>
  <c r="C163" i="19"/>
  <c r="C155" i="19"/>
  <c r="C156" i="19"/>
  <c r="C157" i="19"/>
  <c r="J159" i="19" s="1"/>
  <c r="C158" i="19"/>
  <c r="C159" i="19"/>
  <c r="C160" i="19"/>
  <c r="C161" i="19"/>
  <c r="C162" i="19"/>
  <c r="J161" i="19"/>
  <c r="I22" i="19"/>
  <c r="B28" i="19"/>
  <c r="I32" i="19"/>
  <c r="B38" i="19"/>
  <c r="I42" i="19" s="1"/>
  <c r="B48" i="19" s="1"/>
  <c r="I52" i="19" s="1"/>
  <c r="B57" i="19" s="1"/>
  <c r="I61" i="19" s="1"/>
  <c r="B66" i="19" s="1"/>
  <c r="I70" i="19" s="1"/>
  <c r="B75" i="19" s="1"/>
  <c r="I79" i="19" s="1"/>
  <c r="I23" i="19"/>
  <c r="B29" i="19" s="1"/>
  <c r="I33" i="19" s="1"/>
  <c r="B39" i="19" s="1"/>
  <c r="I43" i="19" s="1"/>
  <c r="B49" i="19"/>
  <c r="I53" i="19" s="1"/>
  <c r="B58" i="19" s="1"/>
  <c r="I62" i="19"/>
  <c r="B67" i="19" s="1"/>
  <c r="I71" i="19" s="1"/>
  <c r="I80" i="19" s="1"/>
  <c r="B21" i="19"/>
  <c r="I25" i="19"/>
  <c r="B31" i="19"/>
  <c r="I35" i="19"/>
  <c r="B41" i="19"/>
  <c r="I45" i="19" s="1"/>
  <c r="B50" i="19" s="1"/>
  <c r="I54" i="19" s="1"/>
  <c r="B59" i="19" s="1"/>
  <c r="I63" i="19" s="1"/>
  <c r="B68" i="19" s="1"/>
  <c r="I72" i="19" s="1"/>
  <c r="I16" i="19"/>
  <c r="B22" i="19"/>
  <c r="I26" i="19" s="1"/>
  <c r="B32" i="19" s="1"/>
  <c r="I36" i="19" s="1"/>
  <c r="B42" i="19" s="1"/>
  <c r="I46" i="19" s="1"/>
  <c r="B51" i="19" s="1"/>
  <c r="I55" i="19" s="1"/>
  <c r="B60" i="19" s="1"/>
  <c r="I64" i="19" s="1"/>
  <c r="B69" i="19" s="1"/>
  <c r="I73" i="19" s="1"/>
  <c r="I17" i="19"/>
  <c r="B23" i="19"/>
  <c r="I27" i="19"/>
  <c r="B33" i="19" s="1"/>
  <c r="I37" i="19" s="1"/>
  <c r="B43" i="19"/>
  <c r="I47" i="19" s="1"/>
  <c r="B52" i="19" s="1"/>
  <c r="I56" i="19" s="1"/>
  <c r="B61" i="19" s="1"/>
  <c r="I65" i="19" s="1"/>
  <c r="B70" i="19" s="1"/>
  <c r="I74" i="19" s="1"/>
  <c r="I18" i="19"/>
  <c r="B24" i="19"/>
  <c r="I28" i="19" s="1"/>
  <c r="B34" i="19" s="1"/>
  <c r="I38" i="19" s="1"/>
  <c r="B44" i="19" s="1"/>
  <c r="I48" i="19"/>
  <c r="B53" i="19" s="1"/>
  <c r="I57" i="19" s="1"/>
  <c r="B62" i="19"/>
  <c r="I66" i="19" s="1"/>
  <c r="B71" i="19" s="1"/>
  <c r="I75" i="19" s="1"/>
  <c r="I85" i="19" s="1"/>
  <c r="I86" i="19"/>
  <c r="I19" i="19"/>
  <c r="B25" i="19"/>
  <c r="I29" i="19" s="1"/>
  <c r="B35" i="19" s="1"/>
  <c r="I39" i="19"/>
  <c r="B45" i="19" s="1"/>
  <c r="I49" i="19" s="1"/>
  <c r="B54" i="19" s="1"/>
  <c r="I58" i="19" s="1"/>
  <c r="B63" i="19" s="1"/>
  <c r="I67" i="19" s="1"/>
  <c r="B72" i="19" s="1"/>
  <c r="I76" i="19" s="1"/>
  <c r="I21" i="19"/>
  <c r="B27" i="19"/>
  <c r="I31" i="19"/>
  <c r="B37" i="19" s="1"/>
  <c r="I41" i="19" s="1"/>
  <c r="B47" i="19" s="1"/>
  <c r="I51" i="19" s="1"/>
  <c r="B56" i="19" s="1"/>
  <c r="I60" i="19" s="1"/>
  <c r="B65" i="19" s="1"/>
  <c r="I69" i="19" s="1"/>
  <c r="B74" i="19" s="1"/>
  <c r="I78" i="19" s="1"/>
  <c r="I20" i="19"/>
  <c r="B26" i="19" s="1"/>
  <c r="I30" i="19" s="1"/>
  <c r="B36" i="19"/>
  <c r="I40" i="19"/>
  <c r="B46" i="19" s="1"/>
  <c r="I50" i="19" s="1"/>
  <c r="B55" i="19" s="1"/>
  <c r="I59" i="19" s="1"/>
  <c r="B64" i="19" s="1"/>
  <c r="I68" i="19" s="1"/>
  <c r="B73" i="19" s="1"/>
  <c r="I77" i="19" s="1"/>
  <c r="I88" i="19" s="1"/>
  <c r="K12" i="19"/>
  <c r="C13" i="19"/>
  <c r="J13" i="19"/>
  <c r="G29" i="18" s="1"/>
  <c r="K13" i="19"/>
  <c r="K14" i="19" s="1"/>
  <c r="J14" i="19"/>
  <c r="C16" i="19"/>
  <c r="J16" i="19" s="1"/>
  <c r="C17" i="19"/>
  <c r="J17" i="19" s="1"/>
  <c r="C18" i="19"/>
  <c r="G21" i="18" s="1"/>
  <c r="C19" i="19"/>
  <c r="J19" i="19" s="1"/>
  <c r="C20" i="19"/>
  <c r="J20" i="19" s="1"/>
  <c r="C21" i="19"/>
  <c r="J21" i="19" s="1"/>
  <c r="C22" i="19"/>
  <c r="J22" i="19" s="1"/>
  <c r="C23" i="19"/>
  <c r="J23" i="19" s="1"/>
  <c r="C24" i="19"/>
  <c r="J24" i="19" s="1"/>
  <c r="C25" i="19"/>
  <c r="J25" i="19" s="1"/>
  <c r="C26" i="19"/>
  <c r="J26" i="19"/>
  <c r="C27" i="19"/>
  <c r="J27" i="19"/>
  <c r="C28" i="19"/>
  <c r="J28" i="19" s="1"/>
  <c r="C29" i="19"/>
  <c r="J29" i="19" s="1"/>
  <c r="C30" i="19"/>
  <c r="J30" i="19"/>
  <c r="C31" i="19"/>
  <c r="J31" i="19"/>
  <c r="C32" i="19"/>
  <c r="J32" i="19" s="1"/>
  <c r="C33" i="19"/>
  <c r="J33" i="19" s="1"/>
  <c r="C34" i="19"/>
  <c r="J34" i="19"/>
  <c r="C35" i="19"/>
  <c r="J35" i="19" s="1"/>
  <c r="C36" i="19"/>
  <c r="J36" i="19" s="1"/>
  <c r="C37" i="19"/>
  <c r="J37" i="19" s="1"/>
  <c r="C38" i="19"/>
  <c r="J38" i="19" s="1"/>
  <c r="C39" i="19"/>
  <c r="J39" i="19"/>
  <c r="C40" i="19"/>
  <c r="J40" i="19" s="1"/>
  <c r="C41" i="19"/>
  <c r="J41" i="19" s="1"/>
  <c r="C42" i="19"/>
  <c r="J42" i="19"/>
  <c r="C43" i="19"/>
  <c r="J43" i="19"/>
  <c r="C44" i="19"/>
  <c r="J44" i="19" s="1"/>
  <c r="C45" i="19"/>
  <c r="J45" i="19" s="1"/>
  <c r="J46" i="19"/>
  <c r="J48" i="19"/>
  <c r="J49" i="19"/>
  <c r="J54" i="19"/>
  <c r="J55" i="19"/>
  <c r="J61" i="19"/>
  <c r="J62" i="19"/>
  <c r="J63" i="19"/>
  <c r="G34" i="18" s="1"/>
  <c r="J64" i="19"/>
  <c r="J65" i="19"/>
  <c r="C76" i="19"/>
  <c r="J76" i="19" s="1"/>
  <c r="C77" i="19"/>
  <c r="J77" i="19"/>
  <c r="C78" i="19"/>
  <c r="J78" i="19"/>
  <c r="C79" i="19"/>
  <c r="J79" i="19"/>
  <c r="C80" i="19"/>
  <c r="J80" i="19"/>
  <c r="C81" i="19"/>
  <c r="J81" i="19" s="1"/>
  <c r="C82" i="19"/>
  <c r="J82" i="19"/>
  <c r="C83" i="19"/>
  <c r="J83" i="19" s="1"/>
  <c r="C84" i="19"/>
  <c r="J84" i="19" s="1"/>
  <c r="C85" i="19"/>
  <c r="J85" i="19"/>
  <c r="C86" i="19"/>
  <c r="J86" i="19"/>
  <c r="C87" i="19"/>
  <c r="J87" i="19" s="1"/>
  <c r="C88" i="19"/>
  <c r="J88" i="19" s="1"/>
  <c r="C89" i="19"/>
  <c r="J89" i="19" s="1"/>
  <c r="C90" i="19"/>
  <c r="J90" i="19"/>
  <c r="C91" i="19"/>
  <c r="J91" i="19"/>
  <c r="C92" i="19"/>
  <c r="J92" i="19"/>
  <c r="C93" i="19"/>
  <c r="J93" i="19" s="1"/>
  <c r="C94" i="19"/>
  <c r="J94" i="19"/>
  <c r="C95" i="19"/>
  <c r="J95" i="19"/>
  <c r="C96" i="19"/>
  <c r="J96" i="19" s="1"/>
  <c r="C97" i="19"/>
  <c r="J97" i="19"/>
  <c r="C98" i="19"/>
  <c r="J98" i="19"/>
  <c r="C99" i="19"/>
  <c r="J99" i="19" s="1"/>
  <c r="J100" i="19"/>
  <c r="J102" i="19"/>
  <c r="J103" i="19"/>
  <c r="J107" i="19"/>
  <c r="J108" i="19"/>
  <c r="J117" i="19"/>
  <c r="J122" i="19"/>
  <c r="J127" i="19"/>
  <c r="C130" i="19"/>
  <c r="J130" i="19"/>
  <c r="C131" i="19"/>
  <c r="J131" i="19"/>
  <c r="C132" i="19"/>
  <c r="J132" i="19"/>
  <c r="C133" i="19"/>
  <c r="J133" i="19"/>
  <c r="C134" i="19"/>
  <c r="J134" i="19"/>
  <c r="C135" i="19"/>
  <c r="J135" i="19" s="1"/>
  <c r="C136" i="19"/>
  <c r="J136" i="19" s="1"/>
  <c r="C137" i="19"/>
  <c r="J137" i="19"/>
  <c r="C138" i="19"/>
  <c r="J138" i="19" s="1"/>
  <c r="C139" i="19"/>
  <c r="J139" i="19"/>
  <c r="C140" i="19"/>
  <c r="J140" i="19"/>
  <c r="C141" i="19"/>
  <c r="J141" i="19" s="1"/>
  <c r="C142" i="19"/>
  <c r="J142" i="19"/>
  <c r="C143" i="19"/>
  <c r="J143" i="19"/>
  <c r="C144" i="19"/>
  <c r="J144" i="19"/>
  <c r="C145" i="19"/>
  <c r="J145" i="19"/>
  <c r="C146" i="19"/>
  <c r="J146" i="19"/>
  <c r="C147" i="19"/>
  <c r="J147" i="19" s="1"/>
  <c r="C148" i="19"/>
  <c r="J148" i="19" s="1"/>
  <c r="C149" i="19"/>
  <c r="J149" i="19" s="1"/>
  <c r="C150" i="19"/>
  <c r="J150" i="19"/>
  <c r="C151" i="19"/>
  <c r="J151" i="19"/>
  <c r="C152" i="19"/>
  <c r="J152" i="19"/>
  <c r="C153" i="19"/>
  <c r="J153" i="19" s="1"/>
  <c r="J157" i="19"/>
  <c r="J158" i="19"/>
  <c r="J162" i="19"/>
  <c r="J163" i="19"/>
  <c r="D12" i="19"/>
  <c r="C154" i="19"/>
  <c r="F46" i="18"/>
  <c r="F45" i="18"/>
  <c r="G35" i="18"/>
  <c r="G33" i="18"/>
  <c r="G23" i="18"/>
  <c r="B20" i="19"/>
  <c r="I24" i="19"/>
  <c r="B30" i="19"/>
  <c r="I34" i="19" s="1"/>
  <c r="G4" i="20"/>
  <c r="G3" i="20"/>
  <c r="G5" i="20"/>
  <c r="G22" i="18"/>
  <c r="B40" i="19"/>
  <c r="I44" i="19" s="1"/>
  <c r="G20" i="18"/>
  <c r="F20" i="18" s="1"/>
  <c r="G31" i="18"/>
  <c r="F47" i="18"/>
  <c r="L12" i="19"/>
  <c r="H19" i="18"/>
  <c r="C19" i="18"/>
  <c r="G30" i="18"/>
  <c r="C29" i="18"/>
  <c r="E12" i="19"/>
  <c r="G12" i="19" s="1"/>
  <c r="C30" i="18"/>
  <c r="F27" i="18" l="1"/>
  <c r="I93" i="19"/>
  <c r="B100" i="19" s="1"/>
  <c r="I90" i="19"/>
  <c r="B97" i="19" s="1"/>
  <c r="I87" i="19"/>
  <c r="I97" i="19" s="1"/>
  <c r="B104" i="19" s="1"/>
  <c r="I83" i="19"/>
  <c r="I96" i="19"/>
  <c r="B103" i="19" s="1"/>
  <c r="I89" i="19"/>
  <c r="B96" i="19" s="1"/>
  <c r="I84" i="19"/>
  <c r="I98" i="19"/>
  <c r="B105" i="19" s="1"/>
  <c r="I91" i="19"/>
  <c r="B98" i="19" s="1"/>
  <c r="I81" i="19"/>
  <c r="K15" i="19"/>
  <c r="L14" i="19"/>
  <c r="N14" i="19" s="1"/>
  <c r="J18" i="19"/>
  <c r="G25" i="18"/>
  <c r="D29" i="18"/>
  <c r="E29" i="18" s="1"/>
  <c r="F29" i="18" s="1"/>
  <c r="L13" i="19"/>
  <c r="D13" i="19"/>
  <c r="G19" i="18"/>
  <c r="G32" i="18"/>
  <c r="J160" i="19"/>
  <c r="I92" i="19" l="1"/>
  <c r="B99" i="19" s="1"/>
  <c r="I108" i="19"/>
  <c r="I95" i="19"/>
  <c r="B102" i="19" s="1"/>
  <c r="I94" i="19"/>
  <c r="B101" i="19" s="1"/>
  <c r="I107" i="19"/>
  <c r="I101" i="19"/>
  <c r="I100" i="19"/>
  <c r="I99" i="19"/>
  <c r="D14" i="19"/>
  <c r="E13" i="19"/>
  <c r="G13" i="19" s="1"/>
  <c r="D19" i="18"/>
  <c r="E19" i="18" s="1"/>
  <c r="F19" i="18" s="1"/>
  <c r="L15" i="19"/>
  <c r="N15" i="19" s="1"/>
  <c r="K16" i="19"/>
  <c r="D30" i="18"/>
  <c r="E30" i="18" s="1"/>
  <c r="F30" i="18" s="1"/>
  <c r="I102" i="19" l="1"/>
  <c r="I103" i="19"/>
  <c r="I109" i="19"/>
  <c r="I111" i="19"/>
  <c r="B117" i="19" s="1"/>
  <c r="I112" i="19"/>
  <c r="B118" i="19" s="1"/>
  <c r="I113" i="19"/>
  <c r="B119" i="19" s="1"/>
  <c r="I110" i="19"/>
  <c r="I106" i="19"/>
  <c r="I105" i="19"/>
  <c r="I104" i="19"/>
  <c r="I118" i="19"/>
  <c r="B124" i="19" s="1"/>
  <c r="D15" i="19"/>
  <c r="E14" i="19"/>
  <c r="G14" i="19" s="1"/>
  <c r="C20" i="18"/>
  <c r="L16" i="19"/>
  <c r="N16" i="19" s="1"/>
  <c r="K17" i="19"/>
  <c r="C31" i="18"/>
  <c r="I117" i="19" l="1"/>
  <c r="B123" i="19" s="1"/>
  <c r="I127" i="19" s="1"/>
  <c r="B133" i="19" s="1"/>
  <c r="I119" i="19"/>
  <c r="B125" i="19" s="1"/>
  <c r="I120" i="19"/>
  <c r="B126" i="19" s="1"/>
  <c r="I129" i="19"/>
  <c r="B135" i="19" s="1"/>
  <c r="I121" i="19"/>
  <c r="B127" i="19" s="1"/>
  <c r="I116" i="19"/>
  <c r="B122" i="19" s="1"/>
  <c r="I123" i="19"/>
  <c r="B129" i="19" s="1"/>
  <c r="I128" i="19"/>
  <c r="B134" i="19" s="1"/>
  <c r="I122" i="19"/>
  <c r="B128" i="19" s="1"/>
  <c r="I114" i="19"/>
  <c r="B120" i="19" s="1"/>
  <c r="I115" i="19"/>
  <c r="B121" i="19" s="1"/>
  <c r="K18" i="19"/>
  <c r="L17" i="19"/>
  <c r="N17" i="19" s="1"/>
  <c r="E15" i="19"/>
  <c r="G15" i="19" s="1"/>
  <c r="D16" i="19"/>
  <c r="C21" i="18"/>
  <c r="I131" i="19" l="1"/>
  <c r="B137" i="19" s="1"/>
  <c r="I139" i="19"/>
  <c r="B145" i="19" s="1"/>
  <c r="I126" i="19"/>
  <c r="B132" i="19" s="1"/>
  <c r="I125" i="19"/>
  <c r="B131" i="19" s="1"/>
  <c r="I124" i="19"/>
  <c r="B130" i="19" s="1"/>
  <c r="I132" i="19"/>
  <c r="B138" i="19" s="1"/>
  <c r="I130" i="19"/>
  <c r="B136" i="19" s="1"/>
  <c r="I138" i="19"/>
  <c r="B144" i="19" s="1"/>
  <c r="I133" i="19"/>
  <c r="B139" i="19" s="1"/>
  <c r="D17" i="19"/>
  <c r="E16" i="19"/>
  <c r="G16" i="19" s="1"/>
  <c r="K19" i="19"/>
  <c r="L18" i="19"/>
  <c r="N18" i="19" s="1"/>
  <c r="I149" i="19" l="1"/>
  <c r="B155" i="19" s="1"/>
  <c r="I159" i="19" s="1"/>
  <c r="B165" i="19" s="1"/>
  <c r="I141" i="19"/>
  <c r="B147" i="19" s="1"/>
  <c r="I136" i="19"/>
  <c r="B142" i="19" s="1"/>
  <c r="I137" i="19"/>
  <c r="B143" i="19" s="1"/>
  <c r="I134" i="19"/>
  <c r="B140" i="19" s="1"/>
  <c r="I148" i="19"/>
  <c r="B154" i="19" s="1"/>
  <c r="I147" i="19"/>
  <c r="B153" i="19" s="1"/>
  <c r="I142" i="19"/>
  <c r="B148" i="19" s="1"/>
  <c r="I135" i="19"/>
  <c r="B141" i="19" s="1"/>
  <c r="I143" i="19"/>
  <c r="B149" i="19" s="1"/>
  <c r="I140" i="19"/>
  <c r="B146" i="19" s="1"/>
  <c r="L19" i="19"/>
  <c r="N19" i="19" s="1"/>
  <c r="K20" i="19"/>
  <c r="D18" i="19"/>
  <c r="E17" i="19"/>
  <c r="G17" i="19" s="1"/>
  <c r="I151" i="19" l="1"/>
  <c r="B157" i="19" s="1"/>
  <c r="I146" i="19"/>
  <c r="B152" i="19" s="1"/>
  <c r="I144" i="19"/>
  <c r="B150" i="19" s="1"/>
  <c r="I150" i="19"/>
  <c r="B156" i="19" s="1"/>
  <c r="I145" i="19"/>
  <c r="B151" i="19" s="1"/>
  <c r="I152" i="19"/>
  <c r="B158" i="19" s="1"/>
  <c r="I157" i="19"/>
  <c r="B163" i="19" s="1"/>
  <c r="I153" i="19"/>
  <c r="B159" i="19" s="1"/>
  <c r="I158" i="19"/>
  <c r="B164" i="19" s="1"/>
  <c r="E18" i="19"/>
  <c r="G18" i="19" s="1"/>
  <c r="D19" i="19"/>
  <c r="K21" i="19"/>
  <c r="L20" i="19"/>
  <c r="N20" i="19" s="1"/>
  <c r="I169" i="19" l="1"/>
  <c r="I156" i="19"/>
  <c r="B162" i="19" s="1"/>
  <c r="I161" i="19"/>
  <c r="B167" i="19" s="1"/>
  <c r="I160" i="19"/>
  <c r="B166" i="19" s="1"/>
  <c r="I154" i="19"/>
  <c r="B160" i="19" s="1"/>
  <c r="I168" i="19"/>
  <c r="B174" i="19" s="1"/>
  <c r="I162" i="19"/>
  <c r="B168" i="19" s="1"/>
  <c r="I164" i="19"/>
  <c r="B170" i="19" s="1"/>
  <c r="I155" i="19"/>
  <c r="B161" i="19" s="1"/>
  <c r="I163" i="19"/>
  <c r="B169" i="19" s="1"/>
  <c r="E19" i="19"/>
  <c r="G19" i="19" s="1"/>
  <c r="D20" i="19"/>
  <c r="K22" i="19"/>
  <c r="L21" i="19"/>
  <c r="N21" i="19" s="1"/>
  <c r="I166" i="19" l="1"/>
  <c r="B172" i="19" s="1"/>
  <c r="I167" i="19"/>
  <c r="B173" i="19" s="1"/>
  <c r="I171" i="19"/>
  <c r="I177" i="19"/>
  <c r="I178" i="19"/>
  <c r="I174" i="19"/>
  <c r="I170" i="19"/>
  <c r="I173" i="19"/>
  <c r="I172" i="19"/>
  <c r="I165" i="19"/>
  <c r="B171" i="19" s="1"/>
  <c r="K23" i="19"/>
  <c r="L22" i="19"/>
  <c r="N22" i="19" s="1"/>
  <c r="D21" i="19"/>
  <c r="E20" i="19"/>
  <c r="G20" i="19" s="1"/>
  <c r="I176" i="19" l="1"/>
  <c r="I175" i="19"/>
  <c r="E21" i="19"/>
  <c r="G21" i="19" s="1"/>
  <c r="D22" i="19"/>
  <c r="K24" i="19"/>
  <c r="L23" i="19"/>
  <c r="N23" i="19" s="1"/>
  <c r="K25" i="19" l="1"/>
  <c r="L24" i="19"/>
  <c r="N24" i="19" s="1"/>
  <c r="E22" i="19"/>
  <c r="G22" i="19" s="1"/>
  <c r="D23" i="19"/>
  <c r="E23" i="19" l="1"/>
  <c r="G23" i="19" s="1"/>
  <c r="D24" i="19"/>
  <c r="L25" i="19"/>
  <c r="N25" i="19" s="1"/>
  <c r="K26" i="19"/>
  <c r="K27" i="19" l="1"/>
  <c r="L26" i="19"/>
  <c r="N26" i="19" s="1"/>
  <c r="D25" i="19"/>
  <c r="E24" i="19"/>
  <c r="G24" i="19" s="1"/>
  <c r="D26" i="19" l="1"/>
  <c r="E25" i="19"/>
  <c r="G25" i="19" s="1"/>
  <c r="K28" i="19"/>
  <c r="L27" i="19"/>
  <c r="N27" i="19" s="1"/>
  <c r="K29" i="19" l="1"/>
  <c r="L28" i="19"/>
  <c r="N28" i="19" s="1"/>
  <c r="E26" i="19"/>
  <c r="G26" i="19" s="1"/>
  <c r="D27" i="19"/>
  <c r="D28" i="19" l="1"/>
  <c r="E27" i="19"/>
  <c r="G27" i="19" s="1"/>
  <c r="L29" i="19"/>
  <c r="N29" i="19" s="1"/>
  <c r="K30" i="19"/>
  <c r="K31" i="19" l="1"/>
  <c r="L30" i="19"/>
  <c r="N30" i="19" s="1"/>
  <c r="E28" i="19"/>
  <c r="G28" i="19" s="1"/>
  <c r="D29" i="19"/>
  <c r="D30" i="19" l="1"/>
  <c r="E29" i="19"/>
  <c r="G29" i="19" s="1"/>
  <c r="L31" i="19"/>
  <c r="N31" i="19" s="1"/>
  <c r="K32" i="19"/>
  <c r="D31" i="19" l="1"/>
  <c r="E30" i="19"/>
  <c r="G30" i="19" s="1"/>
  <c r="K33" i="19"/>
  <c r="L32" i="19"/>
  <c r="N32" i="19" s="1"/>
  <c r="K34" i="19" l="1"/>
  <c r="L33" i="19"/>
  <c r="N33" i="19" s="1"/>
  <c r="E31" i="19"/>
  <c r="G31" i="19" s="1"/>
  <c r="D32" i="19"/>
  <c r="D33" i="19" l="1"/>
  <c r="E32" i="19"/>
  <c r="G32" i="19" s="1"/>
  <c r="K35" i="19"/>
  <c r="L34" i="19"/>
  <c r="N34" i="19" s="1"/>
  <c r="K36" i="19" l="1"/>
  <c r="L35" i="19"/>
  <c r="N35" i="19" s="1"/>
  <c r="D34" i="19"/>
  <c r="E33" i="19"/>
  <c r="G33" i="19" s="1"/>
  <c r="E34" i="19" l="1"/>
  <c r="G34" i="19" s="1"/>
  <c r="D35" i="19"/>
  <c r="L36" i="19"/>
  <c r="N36" i="19" s="1"/>
  <c r="K37" i="19"/>
  <c r="K38" i="19" l="1"/>
  <c r="L37" i="19"/>
  <c r="N37" i="19" s="1"/>
  <c r="D36" i="19"/>
  <c r="E35" i="19"/>
  <c r="G35" i="19" s="1"/>
  <c r="D37" i="19" l="1"/>
  <c r="E36" i="19"/>
  <c r="G36" i="19" s="1"/>
  <c r="K39" i="19"/>
  <c r="L38" i="19"/>
  <c r="N38" i="19" s="1"/>
  <c r="L39" i="19" l="1"/>
  <c r="N39" i="19" s="1"/>
  <c r="K40" i="19"/>
  <c r="D38" i="19"/>
  <c r="E37" i="19"/>
  <c r="G37" i="19" s="1"/>
  <c r="K41" i="19" l="1"/>
  <c r="L40" i="19"/>
  <c r="N40" i="19" s="1"/>
  <c r="D39" i="19"/>
  <c r="E38" i="19"/>
  <c r="G38" i="19" s="1"/>
  <c r="E39" i="19" l="1"/>
  <c r="G39" i="19" s="1"/>
  <c r="D40" i="19"/>
  <c r="L41" i="19"/>
  <c r="N41" i="19" s="1"/>
  <c r="K42" i="19"/>
  <c r="K43" i="19" l="1"/>
  <c r="L42" i="19"/>
  <c r="N42" i="19" s="1"/>
  <c r="D41" i="19"/>
  <c r="E40" i="19"/>
  <c r="G40" i="19" s="1"/>
  <c r="D42" i="19" l="1"/>
  <c r="E41" i="19"/>
  <c r="G41" i="19" s="1"/>
  <c r="K44" i="19"/>
  <c r="L43" i="19"/>
  <c r="N43" i="19" s="1"/>
  <c r="K45" i="19" l="1"/>
  <c r="L44" i="19"/>
  <c r="E42" i="19"/>
  <c r="G42" i="19" s="1"/>
  <c r="D43" i="19"/>
  <c r="E43" i="19" l="1"/>
  <c r="G43" i="19" s="1"/>
  <c r="D44" i="19"/>
  <c r="D31" i="18"/>
  <c r="E31" i="18" s="1"/>
  <c r="F31" i="18" s="1"/>
  <c r="L45" i="19"/>
  <c r="N45" i="19" s="1"/>
  <c r="K46" i="19"/>
  <c r="L46" i="19" l="1"/>
  <c r="N46" i="19" s="1"/>
  <c r="C32" i="18"/>
  <c r="K47" i="19"/>
  <c r="E44" i="19"/>
  <c r="G44" i="19" s="1"/>
  <c r="D45" i="19"/>
  <c r="E45" i="19" l="1"/>
  <c r="G45" i="19" s="1"/>
  <c r="D21" i="18"/>
  <c r="E21" i="18" s="1"/>
  <c r="F21" i="18" s="1"/>
  <c r="D46" i="19"/>
  <c r="L47" i="19"/>
  <c r="N47" i="19" s="1"/>
  <c r="K48" i="19"/>
  <c r="L48" i="19" l="1"/>
  <c r="N48" i="19" s="1"/>
  <c r="K49" i="19"/>
  <c r="E46" i="19"/>
  <c r="G46" i="19" s="1"/>
  <c r="D47" i="19"/>
  <c r="C22" i="18"/>
  <c r="L49" i="19" l="1"/>
  <c r="N49" i="19" s="1"/>
  <c r="K50" i="19"/>
  <c r="E47" i="19"/>
  <c r="G47" i="19" s="1"/>
  <c r="D48" i="19"/>
  <c r="L50" i="19" l="1"/>
  <c r="N50" i="19" s="1"/>
  <c r="K51" i="19"/>
  <c r="E48" i="19"/>
  <c r="G48" i="19" s="1"/>
  <c r="D49" i="19"/>
  <c r="D50" i="19" l="1"/>
  <c r="E49" i="19"/>
  <c r="G49" i="19" s="1"/>
  <c r="K52" i="19"/>
  <c r="L51" i="19"/>
  <c r="N51" i="19" s="1"/>
  <c r="E50" i="19" l="1"/>
  <c r="G50" i="19" s="1"/>
  <c r="D51" i="19"/>
  <c r="L52" i="19"/>
  <c r="N52" i="19" s="1"/>
  <c r="K53" i="19"/>
  <c r="K54" i="19" l="1"/>
  <c r="L53" i="19"/>
  <c r="N53" i="19" s="1"/>
  <c r="E51" i="19"/>
  <c r="G51" i="19" s="1"/>
  <c r="D52" i="19"/>
  <c r="E52" i="19" l="1"/>
  <c r="G52" i="19" s="1"/>
  <c r="D53" i="19"/>
  <c r="L54" i="19"/>
  <c r="N54" i="19" s="1"/>
  <c r="K55" i="19"/>
  <c r="K56" i="19" l="1"/>
  <c r="L55" i="19"/>
  <c r="N55" i="19" s="1"/>
  <c r="D54" i="19"/>
  <c r="E53" i="19"/>
  <c r="G53" i="19" s="1"/>
  <c r="D55" i="19" l="1"/>
  <c r="E54" i="19"/>
  <c r="G54" i="19" s="1"/>
  <c r="L56" i="19"/>
  <c r="N56" i="19" s="1"/>
  <c r="K57" i="19"/>
  <c r="L57" i="19" l="1"/>
  <c r="N57" i="19" s="1"/>
  <c r="K58" i="19"/>
  <c r="E55" i="19"/>
  <c r="G55" i="19" s="1"/>
  <c r="D56" i="19"/>
  <c r="K59" i="19" l="1"/>
  <c r="L58" i="19"/>
  <c r="N58" i="19" s="1"/>
  <c r="D57" i="19"/>
  <c r="E56" i="19"/>
  <c r="G56" i="19" s="1"/>
  <c r="E57" i="19" l="1"/>
  <c r="G57" i="19" s="1"/>
  <c r="D58" i="19"/>
  <c r="K60" i="19"/>
  <c r="L59" i="19"/>
  <c r="N59" i="19" s="1"/>
  <c r="D59" i="19" l="1"/>
  <c r="E58" i="19"/>
  <c r="G58" i="19" s="1"/>
  <c r="K61" i="19"/>
  <c r="L60" i="19"/>
  <c r="N60" i="19" s="1"/>
  <c r="L61" i="19" l="1"/>
  <c r="N61" i="19" s="1"/>
  <c r="K62" i="19"/>
  <c r="E59" i="19"/>
  <c r="G59" i="19" s="1"/>
  <c r="D60" i="19"/>
  <c r="L62" i="19" l="1"/>
  <c r="N62" i="19" s="1"/>
  <c r="K63" i="19"/>
  <c r="E60" i="19"/>
  <c r="G60" i="19" s="1"/>
  <c r="D61" i="19"/>
  <c r="D62" i="19" l="1"/>
  <c r="E61" i="19"/>
  <c r="G61" i="19" s="1"/>
  <c r="K64" i="19"/>
  <c r="L63" i="19"/>
  <c r="N63" i="19" s="1"/>
  <c r="K65" i="19" l="1"/>
  <c r="L64" i="19"/>
  <c r="N64" i="19" s="1"/>
  <c r="E62" i="19"/>
  <c r="G62" i="19" s="1"/>
  <c r="D63" i="19"/>
  <c r="E63" i="19" l="1"/>
  <c r="G63" i="19" s="1"/>
  <c r="D64" i="19"/>
  <c r="L65" i="19"/>
  <c r="N65" i="19" s="1"/>
  <c r="K66" i="19"/>
  <c r="D65" i="19" l="1"/>
  <c r="E64" i="19"/>
  <c r="G64" i="19" s="1"/>
  <c r="L66" i="19"/>
  <c r="N66" i="19" s="1"/>
  <c r="K67" i="19"/>
  <c r="K68" i="19" l="1"/>
  <c r="L67" i="19"/>
  <c r="N67" i="19" s="1"/>
  <c r="D66" i="19"/>
  <c r="E65" i="19"/>
  <c r="G65" i="19" s="1"/>
  <c r="E66" i="19" l="1"/>
  <c r="G66" i="19" s="1"/>
  <c r="D67" i="19"/>
  <c r="L68" i="19"/>
  <c r="N68" i="19" s="1"/>
  <c r="K69" i="19"/>
  <c r="E67" i="19" l="1"/>
  <c r="G67" i="19" s="1"/>
  <c r="D68" i="19"/>
  <c r="K70" i="19"/>
  <c r="L69" i="19"/>
  <c r="N69" i="19" s="1"/>
  <c r="E68" i="19" l="1"/>
  <c r="G68" i="19" s="1"/>
  <c r="D69" i="19"/>
  <c r="L70" i="19"/>
  <c r="N70" i="19" s="1"/>
  <c r="K71" i="19"/>
  <c r="K72" i="19" l="1"/>
  <c r="L71" i="19"/>
  <c r="N71" i="19" s="1"/>
  <c r="E69" i="19"/>
  <c r="G69" i="19" s="1"/>
  <c r="D70" i="19"/>
  <c r="E70" i="19" l="1"/>
  <c r="G70" i="19" s="1"/>
  <c r="D71" i="19"/>
  <c r="K73" i="19"/>
  <c r="L72" i="19"/>
  <c r="N72" i="19" s="1"/>
  <c r="L73" i="19" l="1"/>
  <c r="N73" i="19" s="1"/>
  <c r="K74" i="19"/>
  <c r="D72" i="19"/>
  <c r="E71" i="19"/>
  <c r="G71" i="19" s="1"/>
  <c r="E72" i="19" l="1"/>
  <c r="G72" i="19" s="1"/>
  <c r="D73" i="19"/>
  <c r="L74" i="19"/>
  <c r="N74" i="19" s="1"/>
  <c r="K75" i="19"/>
  <c r="K76" i="19" l="1"/>
  <c r="L75" i="19"/>
  <c r="N75" i="19" s="1"/>
  <c r="D32" i="18"/>
  <c r="E32" i="18" s="1"/>
  <c r="F32" i="18" s="1"/>
  <c r="E73" i="19"/>
  <c r="G73" i="19" s="1"/>
  <c r="D74" i="19"/>
  <c r="D75" i="19" l="1"/>
  <c r="E74" i="19"/>
  <c r="G74" i="19" s="1"/>
  <c r="K77" i="19"/>
  <c r="L76" i="19"/>
  <c r="N76" i="19" s="1"/>
  <c r="C33" i="18"/>
  <c r="L77" i="19" l="1"/>
  <c r="N77" i="19" s="1"/>
  <c r="K78" i="19"/>
  <c r="D76" i="19"/>
  <c r="E75" i="19"/>
  <c r="G75" i="19" s="1"/>
  <c r="D22" i="18"/>
  <c r="E22" i="18" s="1"/>
  <c r="F22" i="18" s="1"/>
  <c r="L78" i="19" l="1"/>
  <c r="N78" i="19" s="1"/>
  <c r="K79" i="19"/>
  <c r="D77" i="19"/>
  <c r="E76" i="19"/>
  <c r="G76" i="19" s="1"/>
  <c r="C23" i="18"/>
  <c r="D78" i="19" l="1"/>
  <c r="E77" i="19"/>
  <c r="G77" i="19" s="1"/>
  <c r="K80" i="19"/>
  <c r="L79" i="19"/>
  <c r="N79" i="19" s="1"/>
  <c r="K81" i="19" l="1"/>
  <c r="L80" i="19"/>
  <c r="N80" i="19" s="1"/>
  <c r="D79" i="19"/>
  <c r="E78" i="19"/>
  <c r="G78" i="19" s="1"/>
  <c r="E79" i="19" l="1"/>
  <c r="G79" i="19" s="1"/>
  <c r="D80" i="19"/>
  <c r="L81" i="19"/>
  <c r="N81" i="19" s="1"/>
  <c r="K82" i="19"/>
  <c r="K83" i="19" l="1"/>
  <c r="L82" i="19"/>
  <c r="N82" i="19" s="1"/>
  <c r="D81" i="19"/>
  <c r="E80" i="19"/>
  <c r="G80" i="19" s="1"/>
  <c r="D82" i="19" l="1"/>
  <c r="E81" i="19"/>
  <c r="G81" i="19" s="1"/>
  <c r="K84" i="19"/>
  <c r="L83" i="19"/>
  <c r="N83" i="19" s="1"/>
  <c r="K85" i="19" l="1"/>
  <c r="L84" i="19"/>
  <c r="N84" i="19" s="1"/>
  <c r="D83" i="19"/>
  <c r="E82" i="19"/>
  <c r="G82" i="19" s="1"/>
  <c r="E83" i="19" l="1"/>
  <c r="G83" i="19" s="1"/>
  <c r="D84" i="19"/>
  <c r="L85" i="19"/>
  <c r="N85" i="19" s="1"/>
  <c r="K86" i="19"/>
  <c r="D85" i="19" l="1"/>
  <c r="E84" i="19"/>
  <c r="G84" i="19" s="1"/>
  <c r="K87" i="19"/>
  <c r="L86" i="19"/>
  <c r="N86" i="19" s="1"/>
  <c r="L87" i="19" l="1"/>
  <c r="N87" i="19" s="1"/>
  <c r="K88" i="19"/>
  <c r="D86" i="19"/>
  <c r="E85" i="19"/>
  <c r="G85" i="19" s="1"/>
  <c r="L88" i="19" l="1"/>
  <c r="N88" i="19" s="1"/>
  <c r="K89" i="19"/>
  <c r="E86" i="19"/>
  <c r="G86" i="19" s="1"/>
  <c r="D87" i="19"/>
  <c r="E87" i="19" l="1"/>
  <c r="G87" i="19" s="1"/>
  <c r="D88" i="19"/>
  <c r="K90" i="19"/>
  <c r="L89" i="19"/>
  <c r="N89" i="19" s="1"/>
  <c r="D89" i="19" l="1"/>
  <c r="E88" i="19"/>
  <c r="G88" i="19" s="1"/>
  <c r="L90" i="19"/>
  <c r="N90" i="19" s="1"/>
  <c r="K91" i="19"/>
  <c r="K92" i="19" l="1"/>
  <c r="L91" i="19"/>
  <c r="N91" i="19" s="1"/>
  <c r="D90" i="19"/>
  <c r="E89" i="19"/>
  <c r="G89" i="19" s="1"/>
  <c r="E90" i="19" l="1"/>
  <c r="G90" i="19" s="1"/>
  <c r="D91" i="19"/>
  <c r="L92" i="19"/>
  <c r="N92" i="19" s="1"/>
  <c r="K93" i="19"/>
  <c r="L93" i="19" l="1"/>
  <c r="N93" i="19" s="1"/>
  <c r="K94" i="19"/>
  <c r="D92" i="19"/>
  <c r="E91" i="19"/>
  <c r="G91" i="19" s="1"/>
  <c r="K95" i="19" l="1"/>
  <c r="L94" i="19"/>
  <c r="N94" i="19" s="1"/>
  <c r="E92" i="19"/>
  <c r="G92" i="19" s="1"/>
  <c r="D93" i="19"/>
  <c r="D94" i="19" l="1"/>
  <c r="E93" i="19"/>
  <c r="G93" i="19" s="1"/>
  <c r="K96" i="19"/>
  <c r="L95" i="19"/>
  <c r="N95" i="19" s="1"/>
  <c r="K97" i="19" l="1"/>
  <c r="L96" i="19"/>
  <c r="N96" i="19" s="1"/>
  <c r="E94" i="19"/>
  <c r="G94" i="19" s="1"/>
  <c r="D95" i="19"/>
  <c r="E95" i="19" l="1"/>
  <c r="G95" i="19" s="1"/>
  <c r="D96" i="19"/>
  <c r="L97" i="19"/>
  <c r="N97" i="19" s="1"/>
  <c r="K98" i="19"/>
  <c r="K99" i="19" l="1"/>
  <c r="L98" i="19"/>
  <c r="N98" i="19" s="1"/>
  <c r="E96" i="19"/>
  <c r="G96" i="19" s="1"/>
  <c r="D97" i="19"/>
  <c r="D98" i="19" l="1"/>
  <c r="E97" i="19"/>
  <c r="G97" i="19" s="1"/>
  <c r="L99" i="19"/>
  <c r="K100" i="19"/>
  <c r="D33" i="18"/>
  <c r="E33" i="18" s="1"/>
  <c r="F33" i="18" s="1"/>
  <c r="K101" i="19" l="1"/>
  <c r="C34" i="18"/>
  <c r="L100" i="19"/>
  <c r="N100" i="19" s="1"/>
  <c r="E98" i="19"/>
  <c r="G98" i="19" s="1"/>
  <c r="D99" i="19"/>
  <c r="D100" i="19" l="1"/>
  <c r="E99" i="19"/>
  <c r="G99" i="19" s="1"/>
  <c r="D23" i="18"/>
  <c r="E23" i="18" s="1"/>
  <c r="F23" i="18" s="1"/>
  <c r="L101" i="19"/>
  <c r="N101" i="19" s="1"/>
  <c r="K102" i="19"/>
  <c r="K103" i="19" l="1"/>
  <c r="L102" i="19"/>
  <c r="N102" i="19" s="1"/>
  <c r="D101" i="19"/>
  <c r="E100" i="19"/>
  <c r="G100" i="19" s="1"/>
  <c r="C24" i="18"/>
  <c r="D102" i="19" l="1"/>
  <c r="E101" i="19"/>
  <c r="G101" i="19" s="1"/>
  <c r="L103" i="19"/>
  <c r="N103" i="19" s="1"/>
  <c r="K104" i="19"/>
  <c r="L104" i="19" l="1"/>
  <c r="N104" i="19" s="1"/>
  <c r="K105" i="19"/>
  <c r="E102" i="19"/>
  <c r="G102" i="19" s="1"/>
  <c r="D103" i="19"/>
  <c r="E103" i="19" l="1"/>
  <c r="G103" i="19" s="1"/>
  <c r="D104" i="19"/>
  <c r="L105" i="19"/>
  <c r="N105" i="19" s="1"/>
  <c r="K106" i="19"/>
  <c r="E104" i="19" l="1"/>
  <c r="G104" i="19" s="1"/>
  <c r="D105" i="19"/>
  <c r="K107" i="19"/>
  <c r="L106" i="19"/>
  <c r="N106" i="19" s="1"/>
  <c r="K108" i="19" l="1"/>
  <c r="L107" i="19"/>
  <c r="N107" i="19" s="1"/>
  <c r="E105" i="19"/>
  <c r="G105" i="19" s="1"/>
  <c r="D106" i="19"/>
  <c r="D107" i="19" l="1"/>
  <c r="E106" i="19"/>
  <c r="G106" i="19" s="1"/>
  <c r="K109" i="19"/>
  <c r="L108" i="19"/>
  <c r="N108" i="19" s="1"/>
  <c r="K110" i="19" l="1"/>
  <c r="L109" i="19"/>
  <c r="N109" i="19" s="1"/>
  <c r="E107" i="19"/>
  <c r="G107" i="19" s="1"/>
  <c r="D108" i="19"/>
  <c r="E108" i="19" l="1"/>
  <c r="G108" i="19" s="1"/>
  <c r="D109" i="19"/>
  <c r="K111" i="19"/>
  <c r="L110" i="19"/>
  <c r="N110" i="19" s="1"/>
  <c r="L111" i="19" l="1"/>
  <c r="N111" i="19" s="1"/>
  <c r="K112" i="19"/>
  <c r="D110" i="19"/>
  <c r="E109" i="19"/>
  <c r="G109" i="19" s="1"/>
  <c r="D111" i="19" l="1"/>
  <c r="E110" i="19"/>
  <c r="G110" i="19" s="1"/>
  <c r="L112" i="19"/>
  <c r="N112" i="19" s="1"/>
  <c r="K113" i="19"/>
  <c r="K114" i="19" l="1"/>
  <c r="L113" i="19"/>
  <c r="N113" i="19" s="1"/>
  <c r="E111" i="19"/>
  <c r="G111" i="19" s="1"/>
  <c r="D112" i="19"/>
  <c r="E112" i="19" l="1"/>
  <c r="G112" i="19" s="1"/>
  <c r="D113" i="19"/>
  <c r="K115" i="19"/>
  <c r="L114" i="19"/>
  <c r="N114" i="19" s="1"/>
  <c r="K116" i="19" l="1"/>
  <c r="L115" i="19"/>
  <c r="N115" i="19" s="1"/>
  <c r="E113" i="19"/>
  <c r="G113" i="19" s="1"/>
  <c r="D114" i="19"/>
  <c r="D115" i="19" l="1"/>
  <c r="E114" i="19"/>
  <c r="G114" i="19" s="1"/>
  <c r="L116" i="19"/>
  <c r="N116" i="19" s="1"/>
  <c r="K117" i="19"/>
  <c r="L117" i="19" l="1"/>
  <c r="N117" i="19" s="1"/>
  <c r="K118" i="19"/>
  <c r="D116" i="19"/>
  <c r="E115" i="19"/>
  <c r="G115" i="19" s="1"/>
  <c r="E116" i="19" l="1"/>
  <c r="G116" i="19" s="1"/>
  <c r="D117" i="19"/>
  <c r="L118" i="19"/>
  <c r="N118" i="19" s="1"/>
  <c r="K119" i="19"/>
  <c r="L119" i="19" l="1"/>
  <c r="N119" i="19" s="1"/>
  <c r="K120" i="19"/>
  <c r="E117" i="19"/>
  <c r="G117" i="19" s="1"/>
  <c r="D118" i="19"/>
  <c r="E118" i="19" l="1"/>
  <c r="G118" i="19" s="1"/>
  <c r="D119" i="19"/>
  <c r="L120" i="19"/>
  <c r="N120" i="19" s="1"/>
  <c r="K121" i="19"/>
  <c r="K122" i="19" l="1"/>
  <c r="L121" i="19"/>
  <c r="N121" i="19" s="1"/>
  <c r="E119" i="19"/>
  <c r="G119" i="19" s="1"/>
  <c r="D120" i="19"/>
  <c r="D121" i="19" l="1"/>
  <c r="E120" i="19"/>
  <c r="G120" i="19" s="1"/>
  <c r="L122" i="19"/>
  <c r="N122" i="19" s="1"/>
  <c r="K123" i="19"/>
  <c r="L123" i="19" l="1"/>
  <c r="N123" i="19" s="1"/>
  <c r="K124" i="19"/>
  <c r="E121" i="19"/>
  <c r="G121" i="19" s="1"/>
  <c r="D122" i="19"/>
  <c r="E122" i="19" l="1"/>
  <c r="G122" i="19" s="1"/>
  <c r="D123" i="19"/>
  <c r="L124" i="19"/>
  <c r="N124" i="19" s="1"/>
  <c r="K125" i="19"/>
  <c r="D124" i="19" l="1"/>
  <c r="E123" i="19"/>
  <c r="G123" i="19" s="1"/>
  <c r="L125" i="19"/>
  <c r="N125" i="19" s="1"/>
  <c r="K126" i="19"/>
  <c r="L126" i="19" l="1"/>
  <c r="N126" i="19" s="1"/>
  <c r="K127" i="19"/>
  <c r="E124" i="19"/>
  <c r="G124" i="19" s="1"/>
  <c r="D125" i="19"/>
  <c r="E125" i="19" l="1"/>
  <c r="G125" i="19" s="1"/>
  <c r="D126" i="19"/>
  <c r="K128" i="19"/>
  <c r="L127" i="19"/>
  <c r="N127" i="19" s="1"/>
  <c r="K129" i="19" l="1"/>
  <c r="L128" i="19"/>
  <c r="N128" i="19" s="1"/>
  <c r="E126" i="19"/>
  <c r="G126" i="19" s="1"/>
  <c r="D127" i="19"/>
  <c r="D128" i="19" l="1"/>
  <c r="E127" i="19"/>
  <c r="G127" i="19" s="1"/>
  <c r="K130" i="19"/>
  <c r="D34" i="18"/>
  <c r="E34" i="18" s="1"/>
  <c r="F34" i="18" s="1"/>
  <c r="L129" i="19"/>
  <c r="N129" i="19" s="1"/>
  <c r="L130" i="19" l="1"/>
  <c r="N130" i="19" s="1"/>
  <c r="K131" i="19"/>
  <c r="E128" i="19"/>
  <c r="G128" i="19" s="1"/>
  <c r="D129" i="19"/>
  <c r="L131" i="19" l="1"/>
  <c r="N131" i="19" s="1"/>
  <c r="K132" i="19"/>
  <c r="E129" i="19"/>
  <c r="G129" i="19" s="1"/>
  <c r="D130" i="19"/>
  <c r="D24" i="18"/>
  <c r="E24" i="18" s="1"/>
  <c r="F24" i="18" l="1"/>
  <c r="D131" i="19"/>
  <c r="C25" i="18"/>
  <c r="E130" i="19"/>
  <c r="G130" i="19" s="1"/>
  <c r="L132" i="19"/>
  <c r="N132" i="19" s="1"/>
  <c r="K133" i="19"/>
  <c r="E131" i="19" l="1"/>
  <c r="G131" i="19" s="1"/>
  <c r="D132" i="19"/>
  <c r="L133" i="19"/>
  <c r="N133" i="19" s="1"/>
  <c r="K134" i="19"/>
  <c r="L134" i="19" l="1"/>
  <c r="N134" i="19" s="1"/>
  <c r="K135" i="19"/>
  <c r="E132" i="19"/>
  <c r="G132" i="19" s="1"/>
  <c r="D133" i="19"/>
  <c r="L135" i="19" l="1"/>
  <c r="N135" i="19" s="1"/>
  <c r="K136" i="19"/>
  <c r="D134" i="19"/>
  <c r="E133" i="19"/>
  <c r="G133" i="19" s="1"/>
  <c r="E134" i="19" l="1"/>
  <c r="G134" i="19" s="1"/>
  <c r="D135" i="19"/>
  <c r="K137" i="19"/>
  <c r="L136" i="19"/>
  <c r="N136" i="19" s="1"/>
  <c r="L137" i="19" l="1"/>
  <c r="N137" i="19" s="1"/>
  <c r="K138" i="19"/>
  <c r="E135" i="19"/>
  <c r="G135" i="19" s="1"/>
  <c r="D136" i="19"/>
  <c r="E136" i="19" l="1"/>
  <c r="G136" i="19" s="1"/>
  <c r="D137" i="19"/>
  <c r="L138" i="19"/>
  <c r="N138" i="19" s="1"/>
  <c r="K139" i="19"/>
  <c r="K140" i="19" l="1"/>
  <c r="L139" i="19"/>
  <c r="N139" i="19" s="1"/>
  <c r="E137" i="19"/>
  <c r="G137" i="19" s="1"/>
  <c r="D138" i="19"/>
  <c r="D139" i="19" l="1"/>
  <c r="E138" i="19"/>
  <c r="G138" i="19" s="1"/>
  <c r="K141" i="19"/>
  <c r="L140" i="19"/>
  <c r="N140" i="19" s="1"/>
  <c r="L141" i="19" l="1"/>
  <c r="N141" i="19" s="1"/>
  <c r="K142" i="19"/>
  <c r="E139" i="19"/>
  <c r="G139" i="19" s="1"/>
  <c r="D140" i="19"/>
  <c r="L142" i="19" l="1"/>
  <c r="N142" i="19" s="1"/>
  <c r="K143" i="19"/>
  <c r="E140" i="19"/>
  <c r="G140" i="19" s="1"/>
  <c r="D141" i="19"/>
  <c r="E141" i="19" l="1"/>
  <c r="G141" i="19" s="1"/>
  <c r="D142" i="19"/>
  <c r="L143" i="19"/>
  <c r="N143" i="19" s="1"/>
  <c r="K144" i="19"/>
  <c r="K145" i="19" l="1"/>
  <c r="L144" i="19"/>
  <c r="N144" i="19" s="1"/>
  <c r="E142" i="19"/>
  <c r="G142" i="19" s="1"/>
  <c r="D143" i="19"/>
  <c r="D144" i="19" l="1"/>
  <c r="E143" i="19"/>
  <c r="G143" i="19" s="1"/>
  <c r="L145" i="19"/>
  <c r="N145" i="19" s="1"/>
  <c r="K146" i="19"/>
  <c r="L146" i="19" l="1"/>
  <c r="N146" i="19" s="1"/>
  <c r="K147" i="19"/>
  <c r="E144" i="19"/>
  <c r="G144" i="19" s="1"/>
  <c r="D145" i="19"/>
  <c r="E145" i="19" l="1"/>
  <c r="G145" i="19" s="1"/>
  <c r="D146" i="19"/>
  <c r="K148" i="19"/>
  <c r="L147" i="19"/>
  <c r="N147" i="19" s="1"/>
  <c r="K149" i="19" l="1"/>
  <c r="L148" i="19"/>
  <c r="N148" i="19" s="1"/>
  <c r="E146" i="19"/>
  <c r="G146" i="19" s="1"/>
  <c r="D147" i="19"/>
  <c r="D148" i="19" l="1"/>
  <c r="E147" i="19"/>
  <c r="G147" i="19" s="1"/>
  <c r="L149" i="19"/>
  <c r="N149" i="19" s="1"/>
  <c r="K150" i="19"/>
  <c r="L150" i="19" l="1"/>
  <c r="N150" i="19" s="1"/>
  <c r="K151" i="19"/>
  <c r="D149" i="19"/>
  <c r="E148" i="19"/>
  <c r="G148" i="19" s="1"/>
  <c r="E149" i="19" l="1"/>
  <c r="G149" i="19" s="1"/>
  <c r="D150" i="19"/>
  <c r="L151" i="19"/>
  <c r="N151" i="19" s="1"/>
  <c r="K152" i="19"/>
  <c r="L152" i="19" l="1"/>
  <c r="N152" i="19" s="1"/>
  <c r="K153" i="19"/>
  <c r="E150" i="19"/>
  <c r="G150" i="19" s="1"/>
  <c r="D151" i="19"/>
  <c r="E151" i="19" l="1"/>
  <c r="G151" i="19" s="1"/>
  <c r="D152" i="19"/>
  <c r="L153" i="19"/>
  <c r="N153" i="19" s="1"/>
  <c r="K154" i="19"/>
  <c r="L154" i="19" l="1"/>
  <c r="N154" i="19" s="1"/>
  <c r="K155" i="19"/>
  <c r="E152" i="19"/>
  <c r="G152" i="19" s="1"/>
  <c r="D153" i="19"/>
  <c r="E153" i="19" l="1"/>
  <c r="G153" i="19" s="1"/>
  <c r="D154" i="19"/>
  <c r="L155" i="19"/>
  <c r="N155" i="19" s="1"/>
  <c r="K156" i="19"/>
  <c r="E35" i="18" l="1"/>
  <c r="K157" i="19"/>
  <c r="L156" i="19"/>
  <c r="N156" i="19" s="1"/>
  <c r="D155" i="19"/>
  <c r="E154" i="19"/>
  <c r="G154" i="19" s="1"/>
  <c r="E25" i="18"/>
  <c r="D156" i="19" l="1"/>
  <c r="E155" i="19"/>
  <c r="G155" i="19" s="1"/>
  <c r="K158" i="19"/>
  <c r="L157" i="19"/>
  <c r="F25" i="18"/>
  <c r="E28" i="18"/>
  <c r="F35" i="18"/>
  <c r="K159" i="19" l="1"/>
  <c r="L158" i="19"/>
  <c r="E156" i="19"/>
  <c r="G156" i="19" s="1"/>
  <c r="D157" i="19"/>
  <c r="D158" i="19" l="1"/>
  <c r="E157" i="19"/>
  <c r="G157" i="19" s="1"/>
  <c r="K160" i="19"/>
  <c r="L159" i="19"/>
  <c r="K161" i="19" l="1"/>
  <c r="L160" i="19"/>
  <c r="E158" i="19"/>
  <c r="G158" i="19" s="1"/>
  <c r="D159" i="19"/>
  <c r="D160" i="19" l="1"/>
  <c r="E159" i="19"/>
  <c r="G159" i="19" s="1"/>
  <c r="L161" i="19"/>
  <c r="K162" i="19"/>
  <c r="K163" i="19" l="1"/>
  <c r="L162" i="19"/>
  <c r="E160" i="19"/>
  <c r="G160" i="19" s="1"/>
  <c r="D161" i="19"/>
  <c r="E26" i="18" l="1"/>
  <c r="F26" i="18" s="1"/>
  <c r="F28" i="18" s="1"/>
  <c r="E161" i="19"/>
  <c r="G161" i="19" s="1"/>
  <c r="D162" i="19"/>
  <c r="L163" i="19"/>
  <c r="K164" i="19"/>
  <c r="L164" i="19" l="1"/>
  <c r="K165" i="19"/>
  <c r="D163" i="19"/>
  <c r="E162" i="19"/>
  <c r="G162" i="19" s="1"/>
  <c r="L165" i="19" l="1"/>
  <c r="K166" i="19"/>
  <c r="E163" i="19"/>
  <c r="G163" i="19" s="1"/>
  <c r="D164" i="19"/>
  <c r="K167" i="19" l="1"/>
  <c r="L166" i="19"/>
  <c r="E36" i="18"/>
  <c r="E164" i="19"/>
  <c r="G164" i="19" s="1"/>
  <c r="D165" i="19"/>
  <c r="D166" i="19" l="1"/>
  <c r="E165" i="19"/>
  <c r="G165" i="19" s="1"/>
  <c r="F36" i="18"/>
  <c r="F39" i="18" s="1"/>
  <c r="E38" i="18"/>
  <c r="K168" i="19"/>
  <c r="L167" i="19"/>
  <c r="K169" i="19" l="1"/>
  <c r="L168" i="19"/>
  <c r="D167" i="19"/>
  <c r="E166" i="19"/>
  <c r="G166" i="19" s="1"/>
  <c r="D168" i="19" l="1"/>
  <c r="E167" i="19"/>
  <c r="G167" i="19" s="1"/>
  <c r="K170" i="19"/>
  <c r="L169" i="19"/>
  <c r="K171" i="19" l="1"/>
  <c r="L170" i="19"/>
  <c r="D169" i="19"/>
  <c r="E168" i="19"/>
  <c r="G168" i="19" s="1"/>
  <c r="E169" i="19" l="1"/>
  <c r="G169" i="19" s="1"/>
  <c r="D170" i="19"/>
  <c r="K172" i="19"/>
  <c r="L171" i="19"/>
  <c r="K173" i="19" l="1"/>
  <c r="L172" i="19"/>
  <c r="D171" i="19"/>
  <c r="E170" i="19"/>
  <c r="G170" i="19" s="1"/>
  <c r="D172" i="19" l="1"/>
  <c r="E171" i="19"/>
  <c r="G171" i="19" s="1"/>
  <c r="K174" i="19"/>
  <c r="L173" i="19"/>
  <c r="K175" i="19" l="1"/>
  <c r="L174" i="19"/>
  <c r="D173" i="19"/>
  <c r="E172" i="19"/>
  <c r="G172" i="19" s="1"/>
  <c r="D174" i="19" l="1"/>
  <c r="E174" i="19" s="1"/>
  <c r="G174" i="19" s="1"/>
  <c r="E173" i="19"/>
  <c r="G173" i="19" s="1"/>
  <c r="K176" i="19"/>
  <c r="L175" i="19"/>
  <c r="K177" i="19" l="1"/>
  <c r="L176" i="19"/>
  <c r="L177" i="19" l="1"/>
  <c r="K178" i="19"/>
  <c r="L178" i="19" s="1"/>
</calcChain>
</file>

<file path=xl/sharedStrings.xml><?xml version="1.0" encoding="utf-8"?>
<sst xmlns="http://schemas.openxmlformats.org/spreadsheetml/2006/main" count="110" uniqueCount="88">
  <si>
    <t>DAYS</t>
  </si>
  <si>
    <t xml:space="preserve">OPERATING HOURS </t>
  </si>
  <si>
    <t>TYPE OF OPERATION</t>
  </si>
  <si>
    <t>MAXIMUM SPEED</t>
  </si>
  <si>
    <t>JOURNEY TIME</t>
  </si>
  <si>
    <t>FLEET SIZE REQUIRED</t>
  </si>
  <si>
    <t>DWELL TIME</t>
  </si>
  <si>
    <t>Route</t>
  </si>
  <si>
    <t>FROM</t>
  </si>
  <si>
    <t>TO</t>
  </si>
  <si>
    <t>DURATION
(Hours)</t>
  </si>
  <si>
    <t>TRIPS/hr
(No.)</t>
  </si>
  <si>
    <t>Journey Time
(h:m:s)</t>
  </si>
  <si>
    <t>PATH</t>
  </si>
  <si>
    <t>Headway (Minutes)</t>
  </si>
  <si>
    <t>ROUTE TYPE</t>
  </si>
  <si>
    <t>ROUTE DESCRIPTION</t>
  </si>
  <si>
    <t>ROUTE NAME/ NUMBER</t>
  </si>
  <si>
    <t>Headway</t>
  </si>
  <si>
    <t>Direct Route</t>
  </si>
  <si>
    <t>STOPPAGE/STATION ON OFF-CORRIDOR</t>
  </si>
  <si>
    <t>STOPPING BAY ON CORRIDOR</t>
  </si>
  <si>
    <t>Total</t>
  </si>
  <si>
    <t>20 Minutes;  in accordance with Planned Time displayed on OBU for every station</t>
  </si>
  <si>
    <t>Travel Time</t>
  </si>
  <si>
    <t>Readiness for BWD</t>
  </si>
  <si>
    <t>Bus No</t>
  </si>
  <si>
    <t>Headway B1 F</t>
  </si>
  <si>
    <t>Headway B2 F</t>
  </si>
  <si>
    <t>Layover B1</t>
  </si>
  <si>
    <t>Layover B2</t>
  </si>
  <si>
    <t>Layover B3</t>
  </si>
  <si>
    <t>Layover B4</t>
  </si>
  <si>
    <t>Headway B1 B</t>
  </si>
  <si>
    <t>Headway B2 B</t>
  </si>
  <si>
    <t>Readiness for FWD</t>
  </si>
  <si>
    <t>Trips NO</t>
  </si>
  <si>
    <t>Layover B5</t>
  </si>
  <si>
    <t>Layover B6</t>
  </si>
  <si>
    <t>Layover B7</t>
  </si>
  <si>
    <t>Layover B8</t>
  </si>
  <si>
    <t>Headway B3 F</t>
  </si>
  <si>
    <t>Headway B4 F</t>
  </si>
  <si>
    <t>Headway B3 B</t>
  </si>
  <si>
    <t>Headway B4 B</t>
  </si>
  <si>
    <t>Sub-total Forward</t>
  </si>
  <si>
    <t>Sub-total Backward</t>
  </si>
  <si>
    <t>Start of Operation</t>
  </si>
  <si>
    <t>Total Trips</t>
  </si>
  <si>
    <t>HEADWAY BASED OPERATIONS as per below headway, displayed on OBU</t>
  </si>
  <si>
    <t>ON-CORRIDOR: MINIMUM 10 SECONDS &amp; MAXIMUM 30 SECONDS SUBJECT TO PASSENGER SAFETY
OFF-CORRIDOR: MINIMUM 10 SECONDS &amp; MAXIMUM 45 SECONDS SUBJECT TO PASSENGER SAFETY</t>
  </si>
  <si>
    <t>Time/ Location</t>
  </si>
  <si>
    <t>Direction</t>
  </si>
  <si>
    <t>TRIPS</t>
  </si>
  <si>
    <t xml:space="preserve">Morning Dead Trips </t>
  </si>
  <si>
    <t>Direct Route-3A</t>
  </si>
  <si>
    <t xml:space="preserve">Dabgari Gardens to Kohat Adda </t>
  </si>
  <si>
    <t>Kohat Adda to Dabgari Gardens</t>
  </si>
  <si>
    <t>Dabgari Gardens</t>
  </si>
  <si>
    <t>FORWARD DIRECTION (Dabgari Gardens to Kohat Adda )</t>
  </si>
  <si>
    <t>Trip Start Time at Dabgari Gardens</t>
  </si>
  <si>
    <t>Trip End Time at Kohat Adda</t>
  </si>
  <si>
    <t>Layover Time at Kohat Adda</t>
  </si>
  <si>
    <t>Trip Start Time Kohat Adda</t>
  </si>
  <si>
    <t>Trip End Time Dabgari Gardens</t>
  </si>
  <si>
    <t xml:space="preserve">Layover Time at Dabgari Gardens </t>
  </si>
  <si>
    <t xml:space="preserve"> Kohat Adda to Dabgari Gardens</t>
  </si>
  <si>
    <t>50 KM/H (±10 %) subject to local speed restrictions and safety of public as well as passengers</t>
  </si>
  <si>
    <t>kohat Adda</t>
  </si>
  <si>
    <t xml:space="preserve">Total Dead Trip </t>
  </si>
  <si>
    <t xml:space="preserve">Depot to Kohat Adda &amp; Back </t>
  </si>
  <si>
    <t>Total Dead Trips</t>
  </si>
  <si>
    <t>Depot to Dabgari Garden &amp; Back (including dead trips on Sr 2)</t>
  </si>
  <si>
    <t>BACKWARD DIRECTION ( Kohat Adda to Dabgari Gardens )</t>
  </si>
  <si>
    <t>VOC-CHAMKANI</t>
  </si>
  <si>
    <r>
      <rPr>
        <sz val="14"/>
        <color theme="1"/>
        <rFont val="Calibri"/>
        <family val="2"/>
        <scheme val="minor"/>
      </rPr>
      <t xml:space="preserve">EVERY BUS STATION ALONG THE PUBLIC TRANSPORT ROUTE. </t>
    </r>
    <r>
      <rPr>
        <b/>
        <sz val="16"/>
        <color theme="1"/>
        <rFont val="Calibri"/>
        <family val="2"/>
        <scheme val="minor"/>
      </rPr>
      <t xml:space="preserve">The bus must stop at bus bay/shelter available within 50 meter distance of Bus Post/ Shelter. </t>
    </r>
  </si>
  <si>
    <t>As announced and shown on OBU i.e. 3rd Bay at BRT Station</t>
  </si>
  <si>
    <t>Start Time of Operation: 6:00 AM ;  End Time of Operation: 9:30 PM</t>
  </si>
  <si>
    <t>Move to Depot</t>
  </si>
  <si>
    <t xml:space="preserve">Evening Dead Trips </t>
  </si>
  <si>
    <t>Depot</t>
  </si>
  <si>
    <t>Total 12 Number of Standard-Buses (12-meter)</t>
  </si>
  <si>
    <t>Reserve at Dabgari &amp;move back to depot @ 21:00 pm</t>
  </si>
  <si>
    <t>Reserve at Dabgari &amp; induct back @ 12:05 pm</t>
  </si>
  <si>
    <t>Reserve at Dabgari &amp; induct back @ 12:35 pm</t>
  </si>
  <si>
    <t>Move to Depot as SR-02</t>
  </si>
  <si>
    <t>Tue, Wed &amp; Fri</t>
  </si>
  <si>
    <t>TRIP SCHEDULES/OPERATION PLAN EFFECTIVE FROM August 1st, 2025 TILL FURTHER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</si>
</sst>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h:mm:ss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i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12">
    <xf numFmtId="0" fontId="0" fillId="0" borderId="0" xfId="0"/>
    <xf numFmtId="0" fontId="3" fillId="0" borderId="5" xfId="0" applyFont="1" applyBorder="1"/>
    <xf numFmtId="0" fontId="3" fillId="0" borderId="9" xfId="0" applyFont="1" applyBorder="1" applyAlignment="1">
      <alignment vertical="center"/>
    </xf>
    <xf numFmtId="0" fontId="3" fillId="0" borderId="9" xfId="0" applyFont="1" applyBorder="1"/>
    <xf numFmtId="0" fontId="0" fillId="0" borderId="1" xfId="0" applyBorder="1" applyAlignment="1">
      <alignment horizontal="center"/>
    </xf>
    <xf numFmtId="0" fontId="3" fillId="0" borderId="19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28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164" fontId="5" fillId="0" borderId="24" xfId="0" applyNumberFormat="1" applyFont="1" applyBorder="1" applyAlignment="1">
      <alignment horizontal="center"/>
    </xf>
    <xf numFmtId="20" fontId="5" fillId="0" borderId="13" xfId="0" applyNumberFormat="1" applyFont="1" applyBorder="1" applyAlignment="1">
      <alignment horizontal="center"/>
    </xf>
    <xf numFmtId="45" fontId="4" fillId="2" borderId="18" xfId="0" applyNumberFormat="1" applyFont="1" applyFill="1" applyBorder="1" applyAlignment="1">
      <alignment horizontal="center"/>
    </xf>
    <xf numFmtId="1" fontId="4" fillId="0" borderId="13" xfId="0" applyNumberFormat="1" applyFont="1" applyBorder="1" applyAlignment="1">
      <alignment horizontal="center" vertical="center"/>
    </xf>
    <xf numFmtId="45" fontId="4" fillId="2" borderId="26" xfId="0" applyNumberFormat="1" applyFont="1" applyFill="1" applyBorder="1" applyAlignment="1">
      <alignment horizontal="center"/>
    </xf>
    <xf numFmtId="45" fontId="4" fillId="2" borderId="14" xfId="0" applyNumberFormat="1" applyFont="1" applyFill="1" applyBorder="1" applyAlignment="1">
      <alignment horizontal="center"/>
    </xf>
    <xf numFmtId="20" fontId="5" fillId="0" borderId="16" xfId="0" applyNumberFormat="1" applyFont="1" applyBorder="1" applyAlignment="1">
      <alignment horizontal="center"/>
    </xf>
    <xf numFmtId="45" fontId="4" fillId="2" borderId="17" xfId="0" applyNumberFormat="1" applyFont="1" applyFill="1" applyBorder="1" applyAlignment="1">
      <alignment horizontal="center"/>
    </xf>
    <xf numFmtId="21" fontId="4" fillId="2" borderId="17" xfId="0" applyNumberFormat="1" applyFont="1" applyFill="1" applyBorder="1" applyAlignment="1">
      <alignment horizontal="center" vertical="center"/>
    </xf>
    <xf numFmtId="1" fontId="4" fillId="0" borderId="33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 wrapText="1"/>
    </xf>
    <xf numFmtId="164" fontId="5" fillId="0" borderId="9" xfId="0" applyNumberFormat="1" applyFont="1" applyBorder="1" applyAlignment="1">
      <alignment horizontal="center"/>
    </xf>
    <xf numFmtId="1" fontId="4" fillId="0" borderId="18" xfId="0" applyNumberFormat="1" applyFont="1" applyBorder="1" applyAlignment="1">
      <alignment horizontal="center" vertical="center"/>
    </xf>
    <xf numFmtId="21" fontId="4" fillId="2" borderId="18" xfId="0" applyNumberFormat="1" applyFont="1" applyFill="1" applyBorder="1" applyAlignment="1">
      <alignment horizontal="center" vertical="center"/>
    </xf>
    <xf numFmtId="164" fontId="5" fillId="2" borderId="15" xfId="0" applyNumberFormat="1" applyFont="1" applyFill="1" applyBorder="1" applyAlignment="1">
      <alignment horizontal="center" vertical="center" wrapText="1"/>
    </xf>
    <xf numFmtId="21" fontId="4" fillId="2" borderId="15" xfId="0" applyNumberFormat="1" applyFont="1" applyFill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 vertical="center"/>
    </xf>
    <xf numFmtId="164" fontId="5" fillId="0" borderId="36" xfId="0" applyNumberFormat="1" applyFont="1" applyBorder="1" applyAlignment="1">
      <alignment horizontal="center"/>
    </xf>
    <xf numFmtId="20" fontId="5" fillId="0" borderId="18" xfId="0" applyNumberFormat="1" applyFont="1" applyBorder="1" applyAlignment="1">
      <alignment horizontal="center"/>
    </xf>
    <xf numFmtId="1" fontId="3" fillId="0" borderId="17" xfId="0" applyNumberFormat="1" applyFont="1" applyBorder="1" applyAlignment="1">
      <alignment horizontal="center" vertical="center"/>
    </xf>
    <xf numFmtId="164" fontId="5" fillId="2" borderId="18" xfId="0" applyNumberFormat="1" applyFont="1" applyFill="1" applyBorder="1" applyAlignment="1">
      <alignment horizontal="center"/>
    </xf>
    <xf numFmtId="164" fontId="5" fillId="2" borderId="13" xfId="0" applyNumberFormat="1" applyFont="1" applyFill="1" applyBorder="1" applyAlignment="1">
      <alignment horizontal="center"/>
    </xf>
    <xf numFmtId="0" fontId="0" fillId="0" borderId="15" xfId="0" applyBorder="1"/>
    <xf numFmtId="0" fontId="6" fillId="0" borderId="2" xfId="0" applyFont="1" applyBorder="1"/>
    <xf numFmtId="1" fontId="2" fillId="0" borderId="3" xfId="0" applyNumberFormat="1" applyFont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0" borderId="37" xfId="0" applyFont="1" applyBorder="1" applyAlignment="1">
      <alignment horizontal="center" vertical="center" wrapText="1"/>
    </xf>
    <xf numFmtId="20" fontId="7" fillId="0" borderId="17" xfId="0" applyNumberFormat="1" applyFont="1" applyBorder="1" applyAlignment="1">
      <alignment horizontal="center"/>
    </xf>
    <xf numFmtId="1" fontId="3" fillId="0" borderId="41" xfId="0" applyNumberFormat="1" applyFont="1" applyBorder="1" applyAlignment="1">
      <alignment horizontal="center" vertical="center"/>
    </xf>
    <xf numFmtId="45" fontId="4" fillId="2" borderId="33" xfId="0" applyNumberFormat="1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45" fontId="0" fillId="0" borderId="13" xfId="0" applyNumberFormat="1" applyBorder="1" applyAlignment="1">
      <alignment horizontal="center"/>
    </xf>
    <xf numFmtId="165" fontId="0" fillId="0" borderId="0" xfId="0" applyNumberFormat="1"/>
    <xf numFmtId="165" fontId="0" fillId="0" borderId="13" xfId="0" applyNumberFormat="1" applyBorder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45" fontId="0" fillId="0" borderId="0" xfId="0" applyNumberFormat="1" applyAlignment="1">
      <alignment horizontal="center"/>
    </xf>
    <xf numFmtId="45" fontId="0" fillId="0" borderId="20" xfId="0" applyNumberFormat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5" fontId="0" fillId="0" borderId="20" xfId="0" applyNumberForma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45" fontId="0" fillId="0" borderId="18" xfId="0" applyNumberFormat="1" applyBorder="1" applyAlignment="1">
      <alignment horizontal="center"/>
    </xf>
    <xf numFmtId="165" fontId="0" fillId="0" borderId="18" xfId="0" applyNumberFormat="1" applyBorder="1" applyAlignment="1">
      <alignment horizontal="center"/>
    </xf>
    <xf numFmtId="21" fontId="0" fillId="0" borderId="26" xfId="0" applyNumberFormat="1" applyBorder="1" applyAlignment="1">
      <alignment horizontal="center"/>
    </xf>
    <xf numFmtId="45" fontId="0" fillId="0" borderId="15" xfId="0" applyNumberFormat="1" applyBorder="1" applyAlignment="1">
      <alignment horizontal="center"/>
    </xf>
    <xf numFmtId="165" fontId="0" fillId="0" borderId="15" xfId="0" applyNumberFormat="1" applyBorder="1" applyAlignment="1">
      <alignment horizontal="center"/>
    </xf>
    <xf numFmtId="21" fontId="0" fillId="0" borderId="27" xfId="0" applyNumberFormat="1" applyBorder="1" applyAlignment="1">
      <alignment horizontal="center"/>
    </xf>
    <xf numFmtId="21" fontId="0" fillId="0" borderId="8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21" fontId="0" fillId="0" borderId="14" xfId="0" applyNumberFormat="1" applyBorder="1" applyAlignment="1">
      <alignment horizontal="center"/>
    </xf>
    <xf numFmtId="165" fontId="0" fillId="0" borderId="20" xfId="0" applyNumberFormat="1" applyBorder="1" applyAlignment="1">
      <alignment horizontal="center"/>
    </xf>
    <xf numFmtId="21" fontId="0" fillId="0" borderId="22" xfId="0" applyNumberFormat="1" applyBorder="1" applyAlignment="1">
      <alignment horizontal="center"/>
    </xf>
    <xf numFmtId="165" fontId="0" fillId="2" borderId="13" xfId="0" applyNumberFormat="1" applyFill="1" applyBorder="1" applyAlignment="1">
      <alignment horizontal="center"/>
    </xf>
    <xf numFmtId="165" fontId="0" fillId="2" borderId="15" xfId="0" applyNumberFormat="1" applyFill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20" fontId="7" fillId="0" borderId="31" xfId="0" applyNumberFormat="1" applyFont="1" applyBorder="1" applyAlignment="1">
      <alignment horizontal="center"/>
    </xf>
    <xf numFmtId="1" fontId="3" fillId="0" borderId="42" xfId="0" applyNumberFormat="1" applyFont="1" applyBorder="1" applyAlignment="1">
      <alignment horizontal="center" vertical="center"/>
    </xf>
    <xf numFmtId="45" fontId="4" fillId="2" borderId="3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8" xfId="0" applyBorder="1" applyAlignment="1">
      <alignment horizontal="center"/>
    </xf>
    <xf numFmtId="45" fontId="0" fillId="2" borderId="13" xfId="0" applyNumberForma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1" xfId="0" applyBorder="1" applyAlignment="1">
      <alignment horizontal="center"/>
    </xf>
    <xf numFmtId="45" fontId="0" fillId="0" borderId="31" xfId="0" applyNumberFormat="1" applyBorder="1" applyAlignment="1">
      <alignment horizontal="center"/>
    </xf>
    <xf numFmtId="165" fontId="0" fillId="0" borderId="31" xfId="0" applyNumberFormat="1" applyBorder="1" applyAlignment="1">
      <alignment horizontal="center"/>
    </xf>
    <xf numFmtId="21" fontId="0" fillId="0" borderId="32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45" fontId="0" fillId="2" borderId="15" xfId="0" applyNumberFormat="1" applyFill="1" applyBorder="1" applyAlignment="1">
      <alignment horizontal="center"/>
    </xf>
    <xf numFmtId="45" fontId="0" fillId="5" borderId="13" xfId="0" applyNumberFormat="1" applyFill="1" applyBorder="1" applyAlignment="1">
      <alignment horizontal="center"/>
    </xf>
    <xf numFmtId="165" fontId="0" fillId="5" borderId="13" xfId="0" applyNumberFormat="1" applyFill="1" applyBorder="1" applyAlignment="1">
      <alignment horizontal="center"/>
    </xf>
    <xf numFmtId="165" fontId="0" fillId="0" borderId="21" xfId="0" applyNumberFormat="1" applyBorder="1" applyAlignment="1">
      <alignment horizontal="center"/>
    </xf>
    <xf numFmtId="45" fontId="0" fillId="2" borderId="18" xfId="0" applyNumberFormat="1" applyFill="1" applyBorder="1" applyAlignment="1">
      <alignment horizontal="center"/>
    </xf>
    <xf numFmtId="21" fontId="0" fillId="0" borderId="0" xfId="0" applyNumberFormat="1"/>
    <xf numFmtId="165" fontId="0" fillId="5" borderId="10" xfId="0" applyNumberFormat="1" applyFill="1" applyBorder="1" applyAlignment="1">
      <alignment horizontal="center"/>
    </xf>
    <xf numFmtId="164" fontId="5" fillId="2" borderId="6" xfId="0" applyNumberFormat="1" applyFont="1" applyFill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1" fontId="4" fillId="2" borderId="26" xfId="0" applyNumberFormat="1" applyFont="1" applyFill="1" applyBorder="1" applyAlignment="1">
      <alignment horizontal="center" vertical="center"/>
    </xf>
    <xf numFmtId="1" fontId="4" fillId="2" borderId="27" xfId="0" applyNumberFormat="1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165" fontId="0" fillId="0" borderId="47" xfId="0" applyNumberFormat="1" applyBorder="1" applyAlignment="1">
      <alignment horizontal="center"/>
    </xf>
    <xf numFmtId="165" fontId="0" fillId="0" borderId="49" xfId="0" applyNumberFormat="1" applyBorder="1" applyAlignment="1">
      <alignment horizontal="center"/>
    </xf>
    <xf numFmtId="45" fontId="0" fillId="2" borderId="51" xfId="0" applyNumberFormat="1" applyFill="1" applyBorder="1" applyAlignment="1">
      <alignment horizontal="center"/>
    </xf>
    <xf numFmtId="21" fontId="0" fillId="0" borderId="52" xfId="0" applyNumberFormat="1" applyBorder="1" applyAlignment="1">
      <alignment horizontal="center"/>
    </xf>
    <xf numFmtId="21" fontId="0" fillId="2" borderId="26" xfId="0" applyNumberFormat="1" applyFill="1" applyBorder="1" applyAlignment="1">
      <alignment horizontal="center"/>
    </xf>
    <xf numFmtId="1" fontId="4" fillId="2" borderId="55" xfId="0" applyNumberFormat="1" applyFont="1" applyFill="1" applyBorder="1" applyAlignment="1">
      <alignment horizontal="center" vertical="center"/>
    </xf>
    <xf numFmtId="45" fontId="4" fillId="2" borderId="55" xfId="0" applyNumberFormat="1" applyFont="1" applyFill="1" applyBorder="1" applyAlignment="1">
      <alignment horizontal="center"/>
    </xf>
    <xf numFmtId="21" fontId="4" fillId="2" borderId="55" xfId="0" applyNumberFormat="1" applyFont="1" applyFill="1" applyBorder="1" applyAlignment="1">
      <alignment horizontal="center" vertical="center"/>
    </xf>
    <xf numFmtId="45" fontId="4" fillId="2" borderId="44" xfId="0" applyNumberFormat="1" applyFont="1" applyFill="1" applyBorder="1" applyAlignment="1">
      <alignment horizontal="center"/>
    </xf>
    <xf numFmtId="164" fontId="5" fillId="2" borderId="24" xfId="0" applyNumberFormat="1" applyFont="1" applyFill="1" applyBorder="1" applyAlignment="1">
      <alignment horizontal="center" vertical="center" wrapText="1"/>
    </xf>
    <xf numFmtId="164" fontId="5" fillId="2" borderId="18" xfId="0" applyNumberFormat="1" applyFont="1" applyFill="1" applyBorder="1" applyAlignment="1">
      <alignment horizontal="center" vertical="center" wrapText="1"/>
    </xf>
    <xf numFmtId="1" fontId="4" fillId="2" borderId="18" xfId="0" applyNumberFormat="1" applyFont="1" applyFill="1" applyBorder="1" applyAlignment="1">
      <alignment horizontal="center" vertical="center"/>
    </xf>
    <xf numFmtId="164" fontId="5" fillId="2" borderId="25" xfId="0" applyNumberFormat="1" applyFont="1" applyFill="1" applyBorder="1" applyAlignment="1">
      <alignment horizontal="center" vertical="center" wrapText="1"/>
    </xf>
    <xf numFmtId="45" fontId="4" fillId="2" borderId="43" xfId="0" applyNumberFormat="1" applyFont="1" applyFill="1" applyBorder="1" applyAlignment="1">
      <alignment horizontal="center"/>
    </xf>
    <xf numFmtId="1" fontId="4" fillId="0" borderId="38" xfId="0" applyNumberFormat="1" applyFont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0" fillId="0" borderId="5" xfId="0" applyBorder="1" applyAlignment="1">
      <alignment horizontal="center"/>
    </xf>
    <xf numFmtId="45" fontId="0" fillId="0" borderId="6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4" fontId="5" fillId="0" borderId="37" xfId="0" applyNumberFormat="1" applyFont="1" applyBorder="1" applyAlignment="1">
      <alignment horizontal="center"/>
    </xf>
    <xf numFmtId="45" fontId="4" fillId="2" borderId="56" xfId="0" applyNumberFormat="1" applyFont="1" applyFill="1" applyBorder="1" applyAlignment="1">
      <alignment horizontal="center"/>
    </xf>
    <xf numFmtId="1" fontId="4" fillId="0" borderId="6" xfId="0" applyNumberFormat="1" applyFont="1" applyBorder="1" applyAlignment="1">
      <alignment horizontal="center" vertical="center"/>
    </xf>
    <xf numFmtId="164" fontId="5" fillId="0" borderId="28" xfId="0" applyNumberFormat="1" applyFont="1" applyBorder="1" applyAlignment="1">
      <alignment horizontal="center"/>
    </xf>
    <xf numFmtId="164" fontId="5" fillId="2" borderId="15" xfId="0" applyNumberFormat="1" applyFont="1" applyFill="1" applyBorder="1" applyAlignment="1">
      <alignment horizontal="center"/>
    </xf>
    <xf numFmtId="21" fontId="0" fillId="0" borderId="13" xfId="0" applyNumberFormat="1" applyBorder="1" applyAlignment="1">
      <alignment horizontal="center"/>
    </xf>
    <xf numFmtId="21" fontId="0" fillId="0" borderId="20" xfId="0" applyNumberFormat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45" fontId="0" fillId="2" borderId="20" xfId="0" applyNumberFormat="1" applyFill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37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1" fontId="4" fillId="2" borderId="18" xfId="0" applyNumberFormat="1" applyFont="1" applyFill="1" applyBorder="1" applyAlignment="1">
      <alignment horizontal="center" vertical="center"/>
    </xf>
    <xf numFmtId="1" fontId="4" fillId="2" borderId="15" xfId="0" applyNumberFormat="1" applyFont="1" applyFill="1" applyBorder="1" applyAlignment="1">
      <alignment horizontal="center" vertical="center"/>
    </xf>
    <xf numFmtId="1" fontId="4" fillId="2" borderId="26" xfId="0" applyNumberFormat="1" applyFont="1" applyFill="1" applyBorder="1" applyAlignment="1">
      <alignment horizontal="center" vertical="center"/>
    </xf>
    <xf numFmtId="1" fontId="4" fillId="2" borderId="27" xfId="0" applyNumberFormat="1" applyFont="1" applyFill="1" applyBorder="1" applyAlignment="1">
      <alignment horizontal="center" vertical="center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164" fontId="5" fillId="0" borderId="43" xfId="0" applyNumberFormat="1" applyFont="1" applyBorder="1" applyAlignment="1">
      <alignment horizontal="center" wrapText="1"/>
    </xf>
    <xf numFmtId="164" fontId="5" fillId="0" borderId="18" xfId="0" applyNumberFormat="1" applyFont="1" applyBorder="1" applyAlignment="1">
      <alignment horizontal="center" wrapText="1"/>
    </xf>
    <xf numFmtId="1" fontId="4" fillId="0" borderId="26" xfId="0" applyNumberFormat="1" applyFont="1" applyBorder="1" applyAlignment="1">
      <alignment horizontal="center" vertical="center" wrapText="1"/>
    </xf>
    <xf numFmtId="1" fontId="4" fillId="0" borderId="27" xfId="0" applyNumberFormat="1" applyFont="1" applyBorder="1" applyAlignment="1">
      <alignment horizontal="center" vertical="center" wrapText="1"/>
    </xf>
    <xf numFmtId="164" fontId="5" fillId="0" borderId="44" xfId="0" applyNumberFormat="1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1" fontId="4" fillId="2" borderId="6" xfId="0" applyNumberFormat="1" applyFont="1" applyFill="1" applyBorder="1" applyAlignment="1">
      <alignment horizontal="center" vertical="center"/>
    </xf>
    <xf numFmtId="0" fontId="2" fillId="4" borderId="40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0" fontId="2" fillId="4" borderId="32" xfId="0" applyFont="1" applyFill="1" applyBorder="1" applyAlignment="1">
      <alignment horizontal="center" vertical="center"/>
    </xf>
    <xf numFmtId="164" fontId="5" fillId="0" borderId="48" xfId="0" applyNumberFormat="1" applyFont="1" applyBorder="1" applyAlignment="1">
      <alignment horizontal="center"/>
    </xf>
    <xf numFmtId="164" fontId="5" fillId="0" borderId="16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1" fontId="4" fillId="0" borderId="35" xfId="0" applyNumberFormat="1" applyFont="1" applyBorder="1" applyAlignment="1">
      <alignment horizontal="center" vertical="center" wrapText="1"/>
    </xf>
    <xf numFmtId="1" fontId="4" fillId="0" borderId="38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21" fontId="4" fillId="2" borderId="29" xfId="0" applyNumberFormat="1" applyFont="1" applyFill="1" applyBorder="1" applyAlignment="1">
      <alignment horizontal="center" vertical="center"/>
    </xf>
    <xf numFmtId="21" fontId="4" fillId="2" borderId="0" xfId="0" applyNumberFormat="1" applyFont="1" applyFill="1" applyAlignment="1">
      <alignment horizontal="center" vertical="center"/>
    </xf>
    <xf numFmtId="21" fontId="4" fillId="2" borderId="21" xfId="0" applyNumberFormat="1" applyFont="1" applyFill="1" applyBorder="1" applyAlignment="1">
      <alignment horizontal="center" vertical="center"/>
    </xf>
    <xf numFmtId="164" fontId="7" fillId="0" borderId="36" xfId="0" applyNumberFormat="1" applyFont="1" applyBorder="1" applyAlignment="1">
      <alignment horizontal="center"/>
    </xf>
    <xf numFmtId="164" fontId="7" fillId="0" borderId="16" xfId="0" applyNumberFormat="1" applyFont="1" applyBorder="1" applyAlignment="1">
      <alignment horizontal="center"/>
    </xf>
    <xf numFmtId="1" fontId="4" fillId="0" borderId="39" xfId="0" applyNumberFormat="1" applyFont="1" applyBorder="1" applyAlignment="1">
      <alignment horizontal="center" vertical="center"/>
    </xf>
    <xf numFmtId="1" fontId="4" fillId="0" borderId="38" xfId="0" applyNumberFormat="1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/>
    </xf>
    <xf numFmtId="164" fontId="7" fillId="0" borderId="34" xfId="0" applyNumberFormat="1" applyFont="1" applyBorder="1" applyAlignment="1">
      <alignment horizontal="center"/>
    </xf>
    <xf numFmtId="164" fontId="7" fillId="0" borderId="23" xfId="0" applyNumberFormat="1" applyFont="1" applyBorder="1" applyAlignment="1">
      <alignment horizontal="center"/>
    </xf>
    <xf numFmtId="1" fontId="4" fillId="0" borderId="24" xfId="0" applyNumberFormat="1" applyFont="1" applyBorder="1" applyAlignment="1">
      <alignment horizontal="center" vertical="center"/>
    </xf>
    <xf numFmtId="1" fontId="4" fillId="0" borderId="25" xfId="0" applyNumberFormat="1" applyFont="1" applyBorder="1" applyAlignment="1">
      <alignment horizontal="center" vertical="center"/>
    </xf>
    <xf numFmtId="1" fontId="4" fillId="0" borderId="18" xfId="0" applyNumberFormat="1" applyFont="1" applyBorder="1" applyAlignment="1">
      <alignment horizontal="center" vertical="center"/>
    </xf>
    <xf numFmtId="1" fontId="4" fillId="0" borderId="20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45" fontId="6" fillId="0" borderId="36" xfId="0" applyNumberFormat="1" applyFont="1" applyBorder="1" applyAlignment="1">
      <alignment horizontal="center" vertical="center"/>
    </xf>
    <xf numFmtId="45" fontId="6" fillId="0" borderId="23" xfId="0" applyNumberFormat="1" applyFont="1" applyBorder="1" applyAlignment="1">
      <alignment horizontal="center" vertical="center"/>
    </xf>
    <xf numFmtId="45" fontId="6" fillId="0" borderId="37" xfId="0" applyNumberFormat="1" applyFont="1" applyBorder="1" applyAlignment="1">
      <alignment horizontal="center" vertical="center"/>
    </xf>
    <xf numFmtId="45" fontId="6" fillId="0" borderId="53" xfId="0" applyNumberFormat="1" applyFont="1" applyBorder="1" applyAlignment="1">
      <alignment horizontal="center" vertical="center"/>
    </xf>
    <xf numFmtId="45" fontId="6" fillId="0" borderId="54" xfId="0" applyNumberFormat="1" applyFont="1" applyBorder="1" applyAlignment="1">
      <alignment horizontal="center" vertical="center"/>
    </xf>
    <xf numFmtId="45" fontId="6" fillId="0" borderId="50" xfId="0" applyNumberFormat="1" applyFont="1" applyBorder="1" applyAlignment="1">
      <alignment horizontal="center" vertical="center"/>
    </xf>
    <xf numFmtId="45" fontId="6" fillId="3" borderId="2" xfId="0" applyNumberFormat="1" applyFont="1" applyFill="1" applyBorder="1" applyAlignment="1">
      <alignment horizontal="center"/>
    </xf>
    <xf numFmtId="45" fontId="6" fillId="3" borderId="4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6" xfId="0" applyBorder="1" applyAlignment="1">
      <alignment horizontal="center"/>
    </xf>
    <xf numFmtId="45" fontId="6" fillId="5" borderId="40" xfId="0" applyNumberFormat="1" applyFont="1" applyFill="1" applyBorder="1" applyAlignment="1">
      <alignment horizontal="center"/>
    </xf>
    <xf numFmtId="45" fontId="6" fillId="5" borderId="32" xfId="0" applyNumberFormat="1" applyFont="1" applyFill="1" applyBorder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colors>
    <mruColors>
      <color rgb="FF00FF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47"/>
  <sheetViews>
    <sheetView tabSelected="1" zoomScale="85" zoomScaleNormal="85" zoomScaleSheetLayoutView="85" workbookViewId="0">
      <selection activeCell="C13" sqref="C13:I13"/>
    </sheetView>
  </sheetViews>
  <sheetFormatPr defaultColWidth="9.33203125" defaultRowHeight="14.4" x14ac:dyDescent="0.3"/>
  <cols>
    <col min="1" max="1" width="5" customWidth="1"/>
    <col min="2" max="2" width="35" bestFit="1" customWidth="1"/>
    <col min="3" max="4" width="20" bestFit="1" customWidth="1"/>
    <col min="5" max="5" width="33.77734375" customWidth="1"/>
    <col min="6" max="6" width="11" bestFit="1" customWidth="1"/>
    <col min="7" max="7" width="28" bestFit="1" customWidth="1"/>
    <col min="8" max="8" width="16" bestFit="1" customWidth="1"/>
    <col min="9" max="9" width="45.5546875" bestFit="1" customWidth="1"/>
    <col min="10" max="10" width="10.6640625" bestFit="1" customWidth="1"/>
    <col min="11" max="11" width="3.33203125" customWidth="1"/>
    <col min="13" max="13" width="15.21875" customWidth="1"/>
  </cols>
  <sheetData>
    <row r="2" spans="2:11" ht="15" thickBot="1" x14ac:dyDescent="0.35">
      <c r="H2" s="4"/>
      <c r="I2" s="4"/>
    </row>
    <row r="3" spans="2:11" ht="20.25" customHeight="1" thickBot="1" x14ac:dyDescent="0.35">
      <c r="B3" s="141" t="s">
        <v>74</v>
      </c>
      <c r="C3" s="142"/>
      <c r="D3" s="142"/>
      <c r="E3" s="142"/>
      <c r="F3" s="142"/>
      <c r="G3" s="142"/>
      <c r="H3" s="142"/>
      <c r="I3" s="143"/>
    </row>
    <row r="4" spans="2:11" ht="23.25" customHeight="1" thickBot="1" x14ac:dyDescent="0.35">
      <c r="B4" s="141" t="s">
        <v>87</v>
      </c>
      <c r="C4" s="142"/>
      <c r="D4" s="142"/>
      <c r="E4" s="142"/>
      <c r="F4" s="142"/>
      <c r="G4" s="142"/>
      <c r="H4" s="142"/>
      <c r="I4" s="143"/>
    </row>
    <row r="5" spans="2:11" ht="15" customHeight="1" x14ac:dyDescent="0.35">
      <c r="B5" s="1" t="s">
        <v>0</v>
      </c>
      <c r="C5" s="173" t="s">
        <v>86</v>
      </c>
      <c r="D5" s="173"/>
      <c r="E5" s="173"/>
      <c r="F5" s="173"/>
      <c r="G5" s="174"/>
      <c r="H5" s="174"/>
      <c r="I5" s="175"/>
    </row>
    <row r="6" spans="2:11" ht="33" customHeight="1" x14ac:dyDescent="0.3">
      <c r="B6" s="2" t="s">
        <v>15</v>
      </c>
      <c r="C6" s="176" t="s">
        <v>19</v>
      </c>
      <c r="D6" s="177"/>
      <c r="E6" s="177"/>
      <c r="F6" s="177"/>
      <c r="G6" s="177"/>
      <c r="H6" s="177"/>
      <c r="I6" s="178"/>
      <c r="K6" s="6"/>
    </row>
    <row r="7" spans="2:11" ht="33" customHeight="1" x14ac:dyDescent="0.3">
      <c r="B7" s="2" t="s">
        <v>17</v>
      </c>
      <c r="C7" s="176" t="s">
        <v>55</v>
      </c>
      <c r="D7" s="177"/>
      <c r="E7" s="177"/>
      <c r="F7" s="177"/>
      <c r="G7" s="177"/>
      <c r="H7" s="177"/>
      <c r="I7" s="178"/>
      <c r="K7" s="7"/>
    </row>
    <row r="8" spans="2:11" ht="33" customHeight="1" x14ac:dyDescent="0.3">
      <c r="B8" s="2" t="s">
        <v>16</v>
      </c>
      <c r="C8" s="176" t="s">
        <v>66</v>
      </c>
      <c r="D8" s="179"/>
      <c r="E8" s="179"/>
      <c r="F8" s="179"/>
      <c r="G8" s="179"/>
      <c r="H8" s="179"/>
      <c r="I8" s="180"/>
      <c r="K8" s="7"/>
    </row>
    <row r="9" spans="2:11" ht="18" x14ac:dyDescent="0.3">
      <c r="B9" s="2" t="s">
        <v>1</v>
      </c>
      <c r="C9" s="181" t="s">
        <v>77</v>
      </c>
      <c r="D9" s="182"/>
      <c r="E9" s="182"/>
      <c r="F9" s="182"/>
      <c r="G9" s="182"/>
      <c r="H9" s="182"/>
      <c r="I9" s="183"/>
      <c r="K9" s="7"/>
    </row>
    <row r="10" spans="2:11" ht="15" customHeight="1" x14ac:dyDescent="0.35">
      <c r="B10" s="3" t="s">
        <v>2</v>
      </c>
      <c r="C10" s="184" t="s">
        <v>49</v>
      </c>
      <c r="D10" s="184"/>
      <c r="E10" s="184"/>
      <c r="F10" s="184"/>
      <c r="G10" s="185"/>
      <c r="H10" s="185"/>
      <c r="I10" s="186"/>
      <c r="K10" s="7"/>
    </row>
    <row r="11" spans="2:11" ht="15" customHeight="1" x14ac:dyDescent="0.35">
      <c r="B11" s="3" t="s">
        <v>3</v>
      </c>
      <c r="C11" s="184" t="s">
        <v>67</v>
      </c>
      <c r="D11" s="184"/>
      <c r="E11" s="184"/>
      <c r="F11" s="184"/>
      <c r="G11" s="185"/>
      <c r="H11" s="185"/>
      <c r="I11" s="186"/>
      <c r="K11" s="7"/>
    </row>
    <row r="12" spans="2:11" ht="15" customHeight="1" x14ac:dyDescent="0.35">
      <c r="B12" s="3" t="s">
        <v>4</v>
      </c>
      <c r="C12" s="187" t="s">
        <v>23</v>
      </c>
      <c r="D12" s="187"/>
      <c r="E12" s="187"/>
      <c r="F12" s="187"/>
      <c r="G12" s="181"/>
      <c r="H12" s="181"/>
      <c r="I12" s="188"/>
      <c r="K12" s="7"/>
    </row>
    <row r="13" spans="2:11" ht="15" customHeight="1" x14ac:dyDescent="0.35">
      <c r="B13" s="3" t="s">
        <v>5</v>
      </c>
      <c r="C13" s="189" t="s">
        <v>81</v>
      </c>
      <c r="D13" s="189"/>
      <c r="E13" s="189"/>
      <c r="F13" s="189"/>
      <c r="G13" s="190"/>
      <c r="H13" s="190"/>
      <c r="I13" s="191"/>
      <c r="K13" s="7"/>
    </row>
    <row r="14" spans="2:11" ht="86.25" customHeight="1" x14ac:dyDescent="0.3">
      <c r="B14" s="8" t="s">
        <v>20</v>
      </c>
      <c r="C14" s="192" t="s">
        <v>75</v>
      </c>
      <c r="D14" s="192"/>
      <c r="E14" s="192"/>
      <c r="F14" s="192"/>
      <c r="G14" s="193"/>
      <c r="H14" s="193"/>
      <c r="I14" s="194"/>
      <c r="K14" s="7"/>
    </row>
    <row r="15" spans="2:11" ht="42" customHeight="1" x14ac:dyDescent="0.3">
      <c r="B15" s="9" t="s">
        <v>21</v>
      </c>
      <c r="C15" s="170" t="s">
        <v>76</v>
      </c>
      <c r="D15" s="171"/>
      <c r="E15" s="171"/>
      <c r="F15" s="171"/>
      <c r="G15" s="171"/>
      <c r="H15" s="171"/>
      <c r="I15" s="172"/>
      <c r="K15" s="7"/>
    </row>
    <row r="16" spans="2:11" s="7" customFormat="1" ht="38.25" customHeight="1" thickBot="1" x14ac:dyDescent="0.35">
      <c r="B16" s="5" t="s">
        <v>6</v>
      </c>
      <c r="C16" s="195" t="s">
        <v>50</v>
      </c>
      <c r="D16" s="196"/>
      <c r="E16" s="196"/>
      <c r="F16" s="196"/>
      <c r="G16" s="197"/>
      <c r="H16" s="197"/>
      <c r="I16" s="198"/>
    </row>
    <row r="17" spans="2:9" ht="17.25" customHeight="1" x14ac:dyDescent="0.3">
      <c r="B17" s="165" t="s">
        <v>7</v>
      </c>
      <c r="C17" s="167" t="s">
        <v>8</v>
      </c>
      <c r="D17" s="167" t="s">
        <v>9</v>
      </c>
      <c r="E17" s="146" t="s">
        <v>10</v>
      </c>
      <c r="F17" s="146" t="s">
        <v>11</v>
      </c>
      <c r="G17" s="146" t="s">
        <v>14</v>
      </c>
      <c r="H17" s="146" t="s">
        <v>12</v>
      </c>
      <c r="I17" s="149" t="s">
        <v>13</v>
      </c>
    </row>
    <row r="18" spans="2:9" ht="37.5" customHeight="1" thickBot="1" x14ac:dyDescent="0.35">
      <c r="B18" s="166"/>
      <c r="C18" s="168"/>
      <c r="D18" s="169"/>
      <c r="E18" s="169"/>
      <c r="F18" s="169"/>
      <c r="G18" s="147"/>
      <c r="H18" s="148"/>
      <c r="I18" s="150"/>
    </row>
    <row r="19" spans="2:9" ht="18" x14ac:dyDescent="0.35">
      <c r="B19" s="153" t="s">
        <v>55</v>
      </c>
      <c r="C19" s="10">
        <f>DETAILS!D12</f>
        <v>0.25</v>
      </c>
      <c r="D19" s="30">
        <f>DETAILS!D13</f>
        <v>0.26041666666666669</v>
      </c>
      <c r="E19" s="28">
        <f>D19-C19</f>
        <v>1.0416666666666685E-2</v>
      </c>
      <c r="F19" s="22">
        <f>(E19/G19)+1</f>
        <v>2.0000000000000018</v>
      </c>
      <c r="G19" s="14">
        <f>DETAILS!C13</f>
        <v>1.0416666666666666E-2</v>
      </c>
      <c r="H19" s="155">
        <f>TIME(0,20,0)</f>
        <v>1.3888888888888888E-2</v>
      </c>
      <c r="I19" s="151" t="s">
        <v>56</v>
      </c>
    </row>
    <row r="20" spans="2:9" ht="18" x14ac:dyDescent="0.35">
      <c r="B20" s="126"/>
      <c r="C20" s="21">
        <f>DETAILS!D14</f>
        <v>0.2673611111111111</v>
      </c>
      <c r="D20" s="31"/>
      <c r="E20" s="11"/>
      <c r="F20" s="13">
        <f t="shared" ref="F20:F27" si="0">(E20/G20)+1</f>
        <v>1</v>
      </c>
      <c r="G20" s="15">
        <f>DETAILS!C14</f>
        <v>6.9444444444444441E-3</v>
      </c>
      <c r="H20" s="156"/>
      <c r="I20" s="152"/>
    </row>
    <row r="21" spans="2:9" ht="18" x14ac:dyDescent="0.35">
      <c r="B21" s="126"/>
      <c r="C21" s="21">
        <f>DETAILS!D15</f>
        <v>0.27083333333333331</v>
      </c>
      <c r="D21" s="31">
        <f>DETAILS!D45</f>
        <v>0.37499999999999961</v>
      </c>
      <c r="E21" s="11">
        <f t="shared" ref="E21:E24" si="1">D21-C21</f>
        <v>0.1041666666666663</v>
      </c>
      <c r="F21" s="13">
        <f t="shared" si="0"/>
        <v>30.999999999999893</v>
      </c>
      <c r="G21" s="15">
        <f>DETAILS!C18</f>
        <v>3.472222222222222E-3</v>
      </c>
      <c r="H21" s="156"/>
      <c r="I21" s="152"/>
    </row>
    <row r="22" spans="2:9" ht="18" x14ac:dyDescent="0.35">
      <c r="B22" s="126"/>
      <c r="C22" s="21">
        <f>DETAILS!D46</f>
        <v>0.37916666666666626</v>
      </c>
      <c r="D22" s="31">
        <f>DETAILS!D75</f>
        <v>0.49999999999999917</v>
      </c>
      <c r="E22" s="11">
        <f t="shared" si="1"/>
        <v>0.1208333333333329</v>
      </c>
      <c r="F22" s="13">
        <f t="shared" si="0"/>
        <v>29.999999999999897</v>
      </c>
      <c r="G22" s="15">
        <f>DETAILS!C50</f>
        <v>4.1666666666666666E-3</v>
      </c>
      <c r="H22" s="156"/>
      <c r="I22" s="152"/>
    </row>
    <row r="23" spans="2:9" ht="18" x14ac:dyDescent="0.35">
      <c r="B23" s="126"/>
      <c r="C23" s="21">
        <f>DETAILS!D76</f>
        <v>0.50347222222222143</v>
      </c>
      <c r="D23" s="31">
        <f>DETAILS!D99</f>
        <v>0.58333333333333226</v>
      </c>
      <c r="E23" s="11">
        <f t="shared" si="1"/>
        <v>7.9861111111110827E-2</v>
      </c>
      <c r="F23" s="13">
        <f t="shared" si="0"/>
        <v>23.999999999999918</v>
      </c>
      <c r="G23" s="15">
        <f>DETAILS!C77</f>
        <v>3.472222222222222E-3</v>
      </c>
      <c r="H23" s="156"/>
      <c r="I23" s="152"/>
    </row>
    <row r="24" spans="2:9" ht="18" x14ac:dyDescent="0.35">
      <c r="B24" s="126"/>
      <c r="C24" s="21">
        <f>DETAILS!D100</f>
        <v>0.58749999999999891</v>
      </c>
      <c r="D24" s="31">
        <f>DETAILS!D129</f>
        <v>0.70833333333333182</v>
      </c>
      <c r="E24" s="11">
        <f t="shared" si="1"/>
        <v>0.1208333333333329</v>
      </c>
      <c r="F24" s="13">
        <f t="shared" si="0"/>
        <v>29.999999999999897</v>
      </c>
      <c r="G24" s="15">
        <f>DETAILS!C103</f>
        <v>4.1666666666666666E-3</v>
      </c>
      <c r="H24" s="156"/>
      <c r="I24" s="152"/>
    </row>
    <row r="25" spans="2:9" ht="18" x14ac:dyDescent="0.35">
      <c r="B25" s="126"/>
      <c r="C25" s="21">
        <f>DETAILS!D130</f>
        <v>0.71180555555555403</v>
      </c>
      <c r="D25" s="31">
        <f>DETAILS!D163</f>
        <v>0.82638888888888695</v>
      </c>
      <c r="E25" s="11">
        <f t="shared" ref="E25" si="2">D25-C25</f>
        <v>0.11458333333333293</v>
      </c>
      <c r="F25" s="13">
        <f t="shared" si="0"/>
        <v>33.999999999999886</v>
      </c>
      <c r="G25" s="15">
        <f>DETAILS!C136</f>
        <v>3.472222222222222E-3</v>
      </c>
      <c r="H25" s="156"/>
      <c r="I25" s="152"/>
    </row>
    <row r="26" spans="2:9" ht="18" x14ac:dyDescent="0.35">
      <c r="B26" s="126"/>
      <c r="C26" s="117">
        <f>DETAILS!D164</f>
        <v>0.8305555555555536</v>
      </c>
      <c r="D26" s="31">
        <f>DETAILS!D170</f>
        <v>0.85555555555555352</v>
      </c>
      <c r="E26" s="11">
        <f>D26-C26</f>
        <v>2.4999999999999911E-2</v>
      </c>
      <c r="F26" s="13">
        <f t="shared" si="0"/>
        <v>6.9999999999999787</v>
      </c>
      <c r="G26" s="15">
        <f>DETAILS!C168</f>
        <v>4.1666666666666666E-3</v>
      </c>
      <c r="H26" s="156"/>
      <c r="I26" s="109"/>
    </row>
    <row r="27" spans="2:9" ht="18.600000000000001" thickBot="1" x14ac:dyDescent="0.4">
      <c r="B27" s="126"/>
      <c r="C27" s="114">
        <f>DETAILS!D171</f>
        <v>0.86041666666666461</v>
      </c>
      <c r="D27" s="118">
        <f>DETAILS!D174</f>
        <v>0.87499999999999789</v>
      </c>
      <c r="E27" s="11">
        <f>D27-C27</f>
        <v>1.4583333333333282E-2</v>
      </c>
      <c r="F27" s="116">
        <f t="shared" si="0"/>
        <v>3.9999999999999893</v>
      </c>
      <c r="G27" s="115">
        <f>DETAILS!C173</f>
        <v>4.8611111111111112E-3</v>
      </c>
      <c r="H27" s="156"/>
      <c r="I27" s="109"/>
    </row>
    <row r="28" spans="2:9" ht="18.600000000000001" thickBot="1" x14ac:dyDescent="0.4">
      <c r="B28" s="154"/>
      <c r="C28" s="158" t="s">
        <v>45</v>
      </c>
      <c r="D28" s="159"/>
      <c r="E28" s="38">
        <f>SUM(E19:E25)</f>
        <v>0.5506944444444426</v>
      </c>
      <c r="F28" s="39">
        <f>SUM(F19:F27)</f>
        <v>162.99999999999946</v>
      </c>
      <c r="G28" s="40"/>
      <c r="H28" s="156"/>
      <c r="I28" s="160" t="s">
        <v>57</v>
      </c>
    </row>
    <row r="29" spans="2:9" ht="18" x14ac:dyDescent="0.35">
      <c r="B29" s="126"/>
      <c r="C29" s="10">
        <f>DETAILS!K12</f>
        <v>0.25</v>
      </c>
      <c r="D29" s="30">
        <f>DETAILS!K13</f>
        <v>0.26041666666666669</v>
      </c>
      <c r="E29" s="28">
        <f>D29-C29</f>
        <v>1.0416666666666685E-2</v>
      </c>
      <c r="F29" s="22">
        <f>(E29/G29)+1</f>
        <v>2.0000000000000018</v>
      </c>
      <c r="G29" s="14">
        <f>DETAILS!J13</f>
        <v>1.0416666666666666E-2</v>
      </c>
      <c r="H29" s="156"/>
      <c r="I29" s="161"/>
    </row>
    <row r="30" spans="2:9" ht="18" x14ac:dyDescent="0.35">
      <c r="B30" s="126"/>
      <c r="C30" s="21">
        <f>DETAILS!K14</f>
        <v>0.2673611111111111</v>
      </c>
      <c r="D30" s="31">
        <f>DETAILS!K15</f>
        <v>0.27430555555555552</v>
      </c>
      <c r="E30" s="11">
        <f>D30-C30</f>
        <v>6.9444444444444198E-3</v>
      </c>
      <c r="F30" s="13">
        <f t="shared" ref="F30:F37" si="3">(E30/G30)+1</f>
        <v>1.9999999999999964</v>
      </c>
      <c r="G30" s="15">
        <f>DETAILS!J15</f>
        <v>6.9444444444444441E-3</v>
      </c>
      <c r="H30" s="156"/>
      <c r="I30" s="161"/>
    </row>
    <row r="31" spans="2:9" ht="18" x14ac:dyDescent="0.35">
      <c r="B31" s="126"/>
      <c r="C31" s="21">
        <f>DETAILS!K16</f>
        <v>0.27777777777777773</v>
      </c>
      <c r="D31" s="31">
        <f>DETAILS!K45</f>
        <v>0.37847222222222182</v>
      </c>
      <c r="E31" s="11">
        <f>D31-C31</f>
        <v>0.10069444444444409</v>
      </c>
      <c r="F31" s="13">
        <f t="shared" si="3"/>
        <v>29.999999999999897</v>
      </c>
      <c r="G31" s="15">
        <f>DETAILS!J29</f>
        <v>3.472222222222222E-3</v>
      </c>
      <c r="H31" s="156"/>
      <c r="I31" s="161"/>
    </row>
    <row r="32" spans="2:9" ht="18" x14ac:dyDescent="0.35">
      <c r="B32" s="126"/>
      <c r="C32" s="21">
        <f>DETAILS!K46</f>
        <v>0.38263888888888847</v>
      </c>
      <c r="D32" s="31">
        <f>DETAILS!K75</f>
        <v>0.50347222222222143</v>
      </c>
      <c r="E32" s="11">
        <f>D32-C32</f>
        <v>0.12083333333333296</v>
      </c>
      <c r="F32" s="13">
        <f t="shared" si="3"/>
        <v>29.999999999999911</v>
      </c>
      <c r="G32" s="15">
        <f>DETAILS!J48</f>
        <v>4.1666666666666666E-3</v>
      </c>
      <c r="H32" s="156"/>
      <c r="I32" s="161"/>
    </row>
    <row r="33" spans="2:9" ht="18" x14ac:dyDescent="0.35">
      <c r="B33" s="126"/>
      <c r="C33" s="21">
        <f>DETAILS!K76</f>
        <v>0.50694444444444364</v>
      </c>
      <c r="D33" s="31">
        <f>DETAILS!K99</f>
        <v>0.58680555555555447</v>
      </c>
      <c r="E33" s="11">
        <f t="shared" ref="E33" si="4">D33-C33</f>
        <v>7.9861111111110827E-2</v>
      </c>
      <c r="F33" s="13">
        <f t="shared" si="3"/>
        <v>23.999999999999918</v>
      </c>
      <c r="G33" s="15">
        <f>DETAILS!J99</f>
        <v>3.472222222222222E-3</v>
      </c>
      <c r="H33" s="156"/>
      <c r="I33" s="161"/>
    </row>
    <row r="34" spans="2:9" ht="18" x14ac:dyDescent="0.35">
      <c r="B34" s="126"/>
      <c r="C34" s="21">
        <f>DETAILS!K100</f>
        <v>0.59097222222222112</v>
      </c>
      <c r="D34" s="31">
        <f>DETAILS!K129</f>
        <v>0.71180555555555403</v>
      </c>
      <c r="E34" s="11">
        <f t="shared" ref="E34:E37" si="5">D34-C34</f>
        <v>0.1208333333333329</v>
      </c>
      <c r="F34" s="13">
        <f t="shared" si="3"/>
        <v>29.999999999999897</v>
      </c>
      <c r="G34" s="15">
        <f>DETAILS!J63</f>
        <v>4.1666666666666666E-3</v>
      </c>
      <c r="H34" s="156"/>
      <c r="I34" s="161"/>
    </row>
    <row r="35" spans="2:9" ht="18" x14ac:dyDescent="0.35">
      <c r="B35" s="126"/>
      <c r="C35" s="21">
        <f>DETAILS!K130</f>
        <v>0.71527777777777624</v>
      </c>
      <c r="D35" s="31">
        <f>DETAILS!K165</f>
        <v>0.83680555555555358</v>
      </c>
      <c r="E35" s="11">
        <f t="shared" si="5"/>
        <v>0.12152777777777735</v>
      </c>
      <c r="F35" s="13">
        <f t="shared" si="3"/>
        <v>35.999999999999879</v>
      </c>
      <c r="G35" s="15">
        <f>DETAILS!J140</f>
        <v>3.472222222222222E-3</v>
      </c>
      <c r="H35" s="156"/>
      <c r="I35" s="161"/>
    </row>
    <row r="36" spans="2:9" ht="18" x14ac:dyDescent="0.35">
      <c r="B36" s="126"/>
      <c r="C36" s="21">
        <f>DETAILS!K166</f>
        <v>0.84097222222222023</v>
      </c>
      <c r="D36" s="31">
        <f>DETAILS!K171</f>
        <v>0.86180555555555349</v>
      </c>
      <c r="E36" s="11">
        <f t="shared" si="5"/>
        <v>2.0833333333333259E-2</v>
      </c>
      <c r="F36" s="13">
        <f t="shared" si="3"/>
        <v>5.9999999999999822</v>
      </c>
      <c r="G36" s="15">
        <f>DETAILS!J169</f>
        <v>4.1666666666666666E-3</v>
      </c>
      <c r="H36" s="156"/>
      <c r="I36" s="161"/>
    </row>
    <row r="37" spans="2:9" ht="18.600000000000001" thickBot="1" x14ac:dyDescent="0.4">
      <c r="B37" s="126"/>
      <c r="C37" s="114">
        <f>DETAILS!K172</f>
        <v>0.86666666666666459</v>
      </c>
      <c r="D37" s="118">
        <f>DETAILS!K178</f>
        <v>0.89583333333333115</v>
      </c>
      <c r="E37" s="11">
        <f t="shared" si="5"/>
        <v>2.9166666666666563E-2</v>
      </c>
      <c r="F37" s="13">
        <f t="shared" si="3"/>
        <v>6.9999999999999787</v>
      </c>
      <c r="G37" s="115">
        <f>DETAILS!J176</f>
        <v>4.8611111111111112E-3</v>
      </c>
      <c r="H37" s="156"/>
      <c r="I37" s="161"/>
    </row>
    <row r="38" spans="2:9" ht="18.600000000000001" thickBot="1" x14ac:dyDescent="0.4">
      <c r="B38" s="154"/>
      <c r="C38" s="162" t="s">
        <v>46</v>
      </c>
      <c r="D38" s="163"/>
      <c r="E38" s="68">
        <f>SUM(E29:E36)</f>
        <v>0.58194444444444249</v>
      </c>
      <c r="F38" s="69">
        <f>SUM(F29:F37)</f>
        <v>166.99999999999943</v>
      </c>
      <c r="G38" s="70"/>
      <c r="H38" s="157"/>
      <c r="I38" s="161"/>
    </row>
    <row r="39" spans="2:9" ht="18.600000000000001" thickBot="1" x14ac:dyDescent="0.4">
      <c r="B39" s="126"/>
      <c r="C39" s="158" t="s">
        <v>48</v>
      </c>
      <c r="D39" s="164"/>
      <c r="E39" s="16"/>
      <c r="F39" s="29">
        <f>F38+F28</f>
        <v>329.99999999999886</v>
      </c>
      <c r="G39" s="17"/>
      <c r="H39" s="18"/>
      <c r="I39" s="19"/>
    </row>
    <row r="40" spans="2:9" ht="18.600000000000001" thickBot="1" x14ac:dyDescent="0.4">
      <c r="B40" s="37"/>
      <c r="C40" s="27" t="s">
        <v>51</v>
      </c>
      <c r="D40" s="144" t="s">
        <v>52</v>
      </c>
      <c r="E40" s="145"/>
      <c r="F40" s="20" t="s">
        <v>53</v>
      </c>
      <c r="G40" s="17" t="s">
        <v>22</v>
      </c>
      <c r="H40" s="18"/>
      <c r="I40" s="19"/>
    </row>
    <row r="41" spans="2:9" ht="18" x14ac:dyDescent="0.35">
      <c r="B41" s="126"/>
      <c r="C41" s="104" t="s">
        <v>80</v>
      </c>
      <c r="D41" s="105" t="s">
        <v>58</v>
      </c>
      <c r="E41" s="128" t="s">
        <v>54</v>
      </c>
      <c r="F41" s="92">
        <v>8</v>
      </c>
      <c r="G41" s="108"/>
      <c r="H41" s="23"/>
      <c r="I41" s="130" t="s">
        <v>54</v>
      </c>
    </row>
    <row r="42" spans="2:9" ht="18.600000000000001" thickBot="1" x14ac:dyDescent="0.4">
      <c r="B42" s="127"/>
      <c r="C42" s="107" t="s">
        <v>80</v>
      </c>
      <c r="D42" s="24" t="s">
        <v>68</v>
      </c>
      <c r="E42" s="129"/>
      <c r="F42" s="93">
        <v>4</v>
      </c>
      <c r="G42" s="103"/>
      <c r="H42" s="25"/>
      <c r="I42" s="131"/>
    </row>
    <row r="43" spans="2:9" ht="18" x14ac:dyDescent="0.35">
      <c r="B43" s="91"/>
      <c r="C43" s="90" t="s">
        <v>58</v>
      </c>
      <c r="D43" s="90" t="s">
        <v>80</v>
      </c>
      <c r="E43" s="140" t="s">
        <v>79</v>
      </c>
      <c r="F43" s="106">
        <v>12</v>
      </c>
      <c r="G43" s="101"/>
      <c r="H43" s="102"/>
      <c r="I43" s="140" t="s">
        <v>79</v>
      </c>
    </row>
    <row r="44" spans="2:9" ht="18.600000000000001" thickBot="1" x14ac:dyDescent="0.4">
      <c r="B44" s="91"/>
      <c r="C44" s="24" t="s">
        <v>68</v>
      </c>
      <c r="D44" s="24" t="s">
        <v>80</v>
      </c>
      <c r="E44" s="129"/>
      <c r="F44" s="100">
        <v>0</v>
      </c>
      <c r="G44" s="101"/>
      <c r="H44" s="102"/>
      <c r="I44" s="129"/>
    </row>
    <row r="45" spans="2:9" ht="18" x14ac:dyDescent="0.35">
      <c r="B45" s="132" t="s">
        <v>69</v>
      </c>
      <c r="C45" s="134" t="s">
        <v>72</v>
      </c>
      <c r="D45" s="135"/>
      <c r="E45" s="135"/>
      <c r="F45" s="22">
        <f>F41+F43</f>
        <v>20</v>
      </c>
      <c r="G45" s="12"/>
      <c r="H45" s="23"/>
      <c r="I45" s="136" t="s">
        <v>69</v>
      </c>
    </row>
    <row r="46" spans="2:9" ht="18.600000000000001" thickBot="1" x14ac:dyDescent="0.4">
      <c r="B46" s="133"/>
      <c r="C46" s="138" t="s">
        <v>70</v>
      </c>
      <c r="D46" s="139"/>
      <c r="E46" s="139"/>
      <c r="F46" s="26">
        <f>F42+F44</f>
        <v>4</v>
      </c>
      <c r="G46" s="32"/>
      <c r="H46" s="32"/>
      <c r="I46" s="137"/>
    </row>
    <row r="47" spans="2:9" ht="21.6" thickBot="1" x14ac:dyDescent="0.4">
      <c r="B47" s="33"/>
      <c r="C47" s="125" t="s">
        <v>71</v>
      </c>
      <c r="D47" s="125"/>
      <c r="E47" s="125"/>
      <c r="F47" s="34">
        <f>F45+F46</f>
        <v>24</v>
      </c>
      <c r="G47" s="35"/>
      <c r="H47" s="35"/>
      <c r="I47" s="36"/>
    </row>
  </sheetData>
  <mergeCells count="40">
    <mergeCell ref="F17:F18"/>
    <mergeCell ref="C15:I15"/>
    <mergeCell ref="B4:I4"/>
    <mergeCell ref="C5:I5"/>
    <mergeCell ref="C6:I6"/>
    <mergeCell ref="C7:I7"/>
    <mergeCell ref="C8:I8"/>
    <mergeCell ref="C9:I9"/>
    <mergeCell ref="C10:I10"/>
    <mergeCell ref="C11:I11"/>
    <mergeCell ref="C12:I12"/>
    <mergeCell ref="C13:I13"/>
    <mergeCell ref="C14:I14"/>
    <mergeCell ref="C16:I16"/>
    <mergeCell ref="B3:I3"/>
    <mergeCell ref="D40:E40"/>
    <mergeCell ref="G17:G18"/>
    <mergeCell ref="H17:H18"/>
    <mergeCell ref="I17:I18"/>
    <mergeCell ref="I19:I25"/>
    <mergeCell ref="B19:B39"/>
    <mergeCell ref="H19:H38"/>
    <mergeCell ref="C28:D28"/>
    <mergeCell ref="I28:I38"/>
    <mergeCell ref="C38:D38"/>
    <mergeCell ref="C39:D39"/>
    <mergeCell ref="B17:B18"/>
    <mergeCell ref="C17:C18"/>
    <mergeCell ref="D17:D18"/>
    <mergeCell ref="E17:E18"/>
    <mergeCell ref="C47:E47"/>
    <mergeCell ref="B41:B42"/>
    <mergeCell ref="E41:E42"/>
    <mergeCell ref="I41:I42"/>
    <mergeCell ref="B45:B46"/>
    <mergeCell ref="C45:E45"/>
    <mergeCell ref="I45:I46"/>
    <mergeCell ref="C46:E46"/>
    <mergeCell ref="E43:E44"/>
    <mergeCell ref="I43:I44"/>
  </mergeCells>
  <printOptions horizontalCentered="1"/>
  <pageMargins left="0.7" right="0.7" top="0.75" bottom="0.75" header="0.3" footer="0.3"/>
  <pageSetup paperSize="9" scale="4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78"/>
  <sheetViews>
    <sheetView topLeftCell="A118" zoomScale="85" zoomScaleNormal="85" zoomScaleSheetLayoutView="85" workbookViewId="0">
      <selection activeCell="M152" sqref="M152"/>
    </sheetView>
  </sheetViews>
  <sheetFormatPr defaultColWidth="8.77734375" defaultRowHeight="14.4" x14ac:dyDescent="0.3"/>
  <cols>
    <col min="2" max="2" width="17.21875" style="45" bestFit="1" customWidth="1"/>
    <col min="3" max="3" width="10.21875" style="45" bestFit="1" customWidth="1"/>
    <col min="4" max="4" width="14" bestFit="1" customWidth="1"/>
    <col min="5" max="5" width="13.33203125" style="43" bestFit="1" customWidth="1"/>
    <col min="6" max="6" width="22.77734375" style="45" customWidth="1"/>
    <col min="7" max="7" width="13.6640625" style="45" customWidth="1"/>
    <col min="8" max="8" width="10.21875" customWidth="1"/>
    <col min="9" max="9" width="13.5546875" style="45" bestFit="1" customWidth="1"/>
    <col min="10" max="10" width="13.5546875" style="45" customWidth="1"/>
    <col min="11" max="11" width="14" style="43" bestFit="1" customWidth="1"/>
    <col min="12" max="12" width="13.33203125" style="43" bestFit="1" customWidth="1"/>
    <col min="13" max="13" width="20.88671875" customWidth="1"/>
    <col min="14" max="14" width="34.6640625" customWidth="1"/>
    <col min="15" max="15" width="14.77734375" customWidth="1"/>
  </cols>
  <sheetData>
    <row r="1" spans="1:16" x14ac:dyDescent="0.3">
      <c r="B1" s="41" t="s">
        <v>27</v>
      </c>
      <c r="C1" s="42">
        <v>1.0416666666666666E-2</v>
      </c>
      <c r="E1" s="44" t="s">
        <v>29</v>
      </c>
      <c r="F1" s="42">
        <v>1.3888888888888888E-2</v>
      </c>
      <c r="G1" s="42">
        <v>1.7361111111111112E-2</v>
      </c>
      <c r="I1" s="41" t="s">
        <v>33</v>
      </c>
      <c r="J1" s="42">
        <v>1.0416666666666666E-2</v>
      </c>
      <c r="L1" s="44" t="s">
        <v>29</v>
      </c>
      <c r="M1" s="42">
        <v>1.2499999999999999E-2</v>
      </c>
      <c r="N1" s="42">
        <v>4.8611111111111112E-3</v>
      </c>
    </row>
    <row r="2" spans="1:16" x14ac:dyDescent="0.3">
      <c r="B2" s="41" t="s">
        <v>28</v>
      </c>
      <c r="C2" s="42">
        <v>6.9444444444444441E-3</v>
      </c>
      <c r="E2" s="44" t="s">
        <v>30</v>
      </c>
      <c r="F2" s="42">
        <v>1.1805555555555555E-2</v>
      </c>
      <c r="G2" s="42">
        <v>1.5277777777777777E-2</v>
      </c>
      <c r="I2" s="41" t="s">
        <v>34</v>
      </c>
      <c r="J2" s="42">
        <v>6.9444444444444441E-3</v>
      </c>
      <c r="L2" s="44" t="s">
        <v>30</v>
      </c>
      <c r="M2" s="42">
        <v>1.1805555555555555E-2</v>
      </c>
      <c r="N2">
        <v>24</v>
      </c>
    </row>
    <row r="3" spans="1:16" x14ac:dyDescent="0.3">
      <c r="B3" s="41" t="s">
        <v>41</v>
      </c>
      <c r="C3" s="42">
        <v>4.1666666666666666E-3</v>
      </c>
      <c r="D3" s="42">
        <v>4.1666666666666666E-3</v>
      </c>
      <c r="E3" s="44" t="s">
        <v>31</v>
      </c>
      <c r="F3" s="42">
        <v>1.0416666666666666E-2</v>
      </c>
      <c r="I3" s="41" t="s">
        <v>43</v>
      </c>
      <c r="J3" s="42">
        <v>4.8611111111111112E-3</v>
      </c>
      <c r="L3" s="44" t="s">
        <v>31</v>
      </c>
      <c r="M3" s="42">
        <v>1.0416666666666666E-2</v>
      </c>
    </row>
    <row r="4" spans="1:16" x14ac:dyDescent="0.3">
      <c r="B4" s="41" t="s">
        <v>42</v>
      </c>
      <c r="C4" s="42">
        <v>8.3333333333333332E-3</v>
      </c>
      <c r="D4" s="42">
        <v>4.8611111111111112E-3</v>
      </c>
      <c r="E4" s="44" t="s">
        <v>32</v>
      </c>
      <c r="F4" s="42">
        <v>9.7222222222222224E-3</v>
      </c>
      <c r="G4" s="42">
        <v>1.3888888888888889E-3</v>
      </c>
      <c r="I4" s="41" t="s">
        <v>44</v>
      </c>
      <c r="J4" s="42">
        <v>8.3333333333333332E-3</v>
      </c>
      <c r="L4" s="44" t="s">
        <v>32</v>
      </c>
      <c r="M4" s="42">
        <v>9.7222222222222224E-3</v>
      </c>
      <c r="N4" s="42">
        <v>1.6666666666666666E-2</v>
      </c>
    </row>
    <row r="5" spans="1:16" x14ac:dyDescent="0.3">
      <c r="B5" s="41" t="s">
        <v>41</v>
      </c>
      <c r="C5" s="42">
        <v>3.472222222222222E-3</v>
      </c>
      <c r="E5" s="44" t="s">
        <v>37</v>
      </c>
      <c r="F5" s="42">
        <v>6.9444444444444441E-3</v>
      </c>
      <c r="I5" s="45" t="s">
        <v>47</v>
      </c>
      <c r="J5" s="46">
        <v>0.25</v>
      </c>
      <c r="L5" s="44" t="s">
        <v>37</v>
      </c>
      <c r="M5" s="42">
        <v>8.3333333333333332E-3</v>
      </c>
      <c r="N5" s="42">
        <v>9.0277777777777787E-3</v>
      </c>
    </row>
    <row r="6" spans="1:16" x14ac:dyDescent="0.3">
      <c r="E6" s="44" t="s">
        <v>38</v>
      </c>
      <c r="F6" s="42">
        <v>7.6388888888888886E-3</v>
      </c>
      <c r="I6" s="45" t="s">
        <v>24</v>
      </c>
      <c r="J6" s="47">
        <v>1.3888888888888888E-2</v>
      </c>
      <c r="L6" s="44" t="s">
        <v>38</v>
      </c>
      <c r="M6" s="42">
        <v>7.6388888888888886E-3</v>
      </c>
    </row>
    <row r="7" spans="1:16" x14ac:dyDescent="0.3">
      <c r="B7" s="45" t="s">
        <v>47</v>
      </c>
      <c r="C7" s="46">
        <v>0.25</v>
      </c>
      <c r="E7" s="44" t="s">
        <v>39</v>
      </c>
      <c r="F7" s="42">
        <v>1.0416666666666666E-2</v>
      </c>
      <c r="J7" s="42">
        <v>4.8611111111111112E-3</v>
      </c>
      <c r="L7" s="44" t="s">
        <v>39</v>
      </c>
      <c r="M7" s="42">
        <v>1.0416666666666666E-2</v>
      </c>
    </row>
    <row r="8" spans="1:16" x14ac:dyDescent="0.3">
      <c r="B8" s="45" t="s">
        <v>24</v>
      </c>
      <c r="C8" s="47">
        <v>1.3888888888888888E-2</v>
      </c>
      <c r="E8" s="44" t="s">
        <v>40</v>
      </c>
      <c r="F8" s="42">
        <v>4.8611111111111112E-3</v>
      </c>
      <c r="G8" s="42">
        <v>5.5555555555555558E-3</v>
      </c>
      <c r="J8" s="47"/>
      <c r="L8" s="44" t="s">
        <v>40</v>
      </c>
      <c r="M8" s="42">
        <v>5.5555555555555558E-3</v>
      </c>
    </row>
    <row r="9" spans="1:16" ht="15" thickBot="1" x14ac:dyDescent="0.35">
      <c r="F9" s="47"/>
      <c r="M9" s="48">
        <v>3.472222222222222E-3</v>
      </c>
    </row>
    <row r="10" spans="1:16" x14ac:dyDescent="0.3">
      <c r="A10" s="207" t="s">
        <v>59</v>
      </c>
      <c r="B10" s="208"/>
      <c r="C10" s="208"/>
      <c r="D10" s="208"/>
      <c r="E10" s="208"/>
      <c r="F10" s="208"/>
      <c r="G10" s="209"/>
      <c r="I10" s="207" t="s">
        <v>73</v>
      </c>
      <c r="J10" s="208"/>
      <c r="K10" s="208"/>
      <c r="L10" s="208"/>
      <c r="M10" s="208"/>
      <c r="N10" s="209"/>
    </row>
    <row r="11" spans="1:16" ht="71.25" customHeight="1" thickBot="1" x14ac:dyDescent="0.35">
      <c r="A11" s="49" t="s">
        <v>36</v>
      </c>
      <c r="B11" s="50" t="s">
        <v>26</v>
      </c>
      <c r="C11" s="50" t="s">
        <v>18</v>
      </c>
      <c r="D11" s="52" t="s">
        <v>60</v>
      </c>
      <c r="E11" s="51" t="s">
        <v>61</v>
      </c>
      <c r="F11" s="52" t="s">
        <v>62</v>
      </c>
      <c r="G11" s="53" t="s">
        <v>25</v>
      </c>
      <c r="I11" s="49" t="s">
        <v>26</v>
      </c>
      <c r="J11" s="50" t="s">
        <v>18</v>
      </c>
      <c r="K11" s="51" t="s">
        <v>63</v>
      </c>
      <c r="L11" s="51" t="s">
        <v>64</v>
      </c>
      <c r="M11" s="52" t="s">
        <v>65</v>
      </c>
      <c r="N11" s="53" t="s">
        <v>35</v>
      </c>
    </row>
    <row r="12" spans="1:16" ht="15" thickBot="1" x14ac:dyDescent="0.35">
      <c r="A12" s="71">
        <v>1</v>
      </c>
      <c r="B12" s="72">
        <v>1</v>
      </c>
      <c r="C12" s="54"/>
      <c r="D12" s="55">
        <f>C7</f>
        <v>0.25</v>
      </c>
      <c r="E12" s="55">
        <f t="shared" ref="E12:E75" si="0">D12+$C$8</f>
        <v>0.2638888888888889</v>
      </c>
      <c r="F12" s="54">
        <v>1.3888888888888888E-2</v>
      </c>
      <c r="G12" s="56">
        <f>E12+F12</f>
        <v>0.27777777777777779</v>
      </c>
      <c r="I12" s="71">
        <v>9</v>
      </c>
      <c r="J12" s="54"/>
      <c r="K12" s="55">
        <f>J5</f>
        <v>0.25</v>
      </c>
      <c r="L12" s="95">
        <f t="shared" ref="L12:L75" si="1">K12+$J$6</f>
        <v>0.2638888888888889</v>
      </c>
      <c r="M12" s="205" t="s">
        <v>82</v>
      </c>
      <c r="N12" s="206"/>
      <c r="O12" s="43"/>
      <c r="P12" s="88"/>
    </row>
    <row r="13" spans="1:16" ht="15" thickBot="1" x14ac:dyDescent="0.35">
      <c r="A13" s="75">
        <v>2</v>
      </c>
      <c r="B13" s="76">
        <v>2</v>
      </c>
      <c r="C13" s="57">
        <f>C$1</f>
        <v>1.0416666666666666E-2</v>
      </c>
      <c r="D13" s="58">
        <f>C13+D12</f>
        <v>0.26041666666666669</v>
      </c>
      <c r="E13" s="58">
        <f t="shared" si="0"/>
        <v>0.27430555555555558</v>
      </c>
      <c r="F13" s="57">
        <v>6.9444444444444441E-3</v>
      </c>
      <c r="G13" s="59">
        <f>E13+F13</f>
        <v>0.28125</v>
      </c>
      <c r="I13" s="75">
        <v>10</v>
      </c>
      <c r="J13" s="57">
        <f>C13</f>
        <v>1.0416666666666666E-2</v>
      </c>
      <c r="K13" s="58">
        <f>K12+J13</f>
        <v>0.26041666666666669</v>
      </c>
      <c r="L13" s="96">
        <f t="shared" si="1"/>
        <v>0.27430555555555558</v>
      </c>
      <c r="M13" s="205" t="s">
        <v>83</v>
      </c>
      <c r="N13" s="206"/>
      <c r="O13" s="43"/>
      <c r="P13" s="88"/>
    </row>
    <row r="14" spans="1:16" ht="15" thickBot="1" x14ac:dyDescent="0.35">
      <c r="A14" s="77">
        <v>3</v>
      </c>
      <c r="B14" s="78">
        <v>3</v>
      </c>
      <c r="C14" s="79">
        <v>6.9444444444444441E-3</v>
      </c>
      <c r="D14" s="80">
        <f>D13+C14</f>
        <v>0.2673611111111111</v>
      </c>
      <c r="E14" s="80">
        <f t="shared" si="0"/>
        <v>0.28125</v>
      </c>
      <c r="F14" s="79">
        <v>3.472222222222222E-3</v>
      </c>
      <c r="G14" s="81">
        <f>E14+F14</f>
        <v>0.28472222222222221</v>
      </c>
      <c r="I14" s="71">
        <v>11</v>
      </c>
      <c r="J14" s="54">
        <f t="shared" ref="J14:J77" si="2">C14</f>
        <v>6.9444444444444441E-3</v>
      </c>
      <c r="K14" s="55">
        <f t="shared" ref="K14:K77" si="3">K13+J14</f>
        <v>0.2673611111111111</v>
      </c>
      <c r="L14" s="55">
        <f t="shared" si="1"/>
        <v>0.28125</v>
      </c>
      <c r="M14" s="54">
        <v>6.9444444444444441E-3</v>
      </c>
      <c r="N14" s="56">
        <f t="shared" ref="N14:N77" si="4">L14+M14</f>
        <v>0.28819444444444442</v>
      </c>
      <c r="O14" s="43"/>
      <c r="P14" s="88"/>
    </row>
    <row r="15" spans="1:16" ht="15" thickBot="1" x14ac:dyDescent="0.35">
      <c r="A15" s="71">
        <v>4</v>
      </c>
      <c r="B15" s="72">
        <v>4</v>
      </c>
      <c r="C15" s="54">
        <v>3.472222222222222E-3</v>
      </c>
      <c r="D15" s="55">
        <f>D14+C15</f>
        <v>0.27083333333333331</v>
      </c>
      <c r="E15" s="55">
        <f t="shared" si="0"/>
        <v>0.28472222222222221</v>
      </c>
      <c r="F15" s="54">
        <v>3.472222222222222E-3</v>
      </c>
      <c r="G15" s="56">
        <f t="shared" ref="G15:G78" si="5">E15+F15</f>
        <v>0.28819444444444442</v>
      </c>
      <c r="I15" s="75">
        <v>12</v>
      </c>
      <c r="J15" s="57">
        <v>6.9444444444444441E-3</v>
      </c>
      <c r="K15" s="58">
        <f t="shared" si="3"/>
        <v>0.27430555555555552</v>
      </c>
      <c r="L15" s="58">
        <f t="shared" si="1"/>
        <v>0.28819444444444442</v>
      </c>
      <c r="M15" s="57">
        <v>3.472222222222222E-3</v>
      </c>
      <c r="N15" s="59">
        <f t="shared" si="4"/>
        <v>0.29166666666666663</v>
      </c>
      <c r="O15" s="43"/>
      <c r="P15" s="88"/>
    </row>
    <row r="16" spans="1:16" x14ac:dyDescent="0.3">
      <c r="A16" s="74">
        <v>5</v>
      </c>
      <c r="B16" s="41">
        <v>5</v>
      </c>
      <c r="C16" s="42">
        <f t="shared" ref="C16:C45" si="6">C$5</f>
        <v>3.472222222222222E-3</v>
      </c>
      <c r="D16" s="61">
        <f t="shared" ref="D16:D79" si="7">D15+C16</f>
        <v>0.27430555555555552</v>
      </c>
      <c r="E16" s="61">
        <f t="shared" si="0"/>
        <v>0.28819444444444442</v>
      </c>
      <c r="F16" s="42">
        <v>3.472222222222222E-3</v>
      </c>
      <c r="G16" s="62">
        <f t="shared" si="5"/>
        <v>0.29166666666666663</v>
      </c>
      <c r="I16" s="71">
        <f>B12</f>
        <v>1</v>
      </c>
      <c r="J16" s="54">
        <f t="shared" si="2"/>
        <v>3.472222222222222E-3</v>
      </c>
      <c r="K16" s="55">
        <f t="shared" si="3"/>
        <v>0.27777777777777773</v>
      </c>
      <c r="L16" s="55">
        <f t="shared" si="1"/>
        <v>0.29166666666666663</v>
      </c>
      <c r="M16" s="54">
        <v>3.472222222222222E-3</v>
      </c>
      <c r="N16" s="56">
        <f t="shared" si="4"/>
        <v>0.29513888888888884</v>
      </c>
      <c r="O16" s="43"/>
      <c r="P16" s="88"/>
    </row>
    <row r="17" spans="1:16" x14ac:dyDescent="0.3">
      <c r="A17" s="74">
        <v>6</v>
      </c>
      <c r="B17" s="41">
        <v>6</v>
      </c>
      <c r="C17" s="42">
        <f t="shared" si="6"/>
        <v>3.472222222222222E-3</v>
      </c>
      <c r="D17" s="61">
        <f t="shared" si="7"/>
        <v>0.27777777777777773</v>
      </c>
      <c r="E17" s="61">
        <f t="shared" si="0"/>
        <v>0.29166666666666663</v>
      </c>
      <c r="F17" s="42">
        <v>3.472222222222222E-3</v>
      </c>
      <c r="G17" s="62">
        <f t="shared" si="5"/>
        <v>0.29513888888888884</v>
      </c>
      <c r="I17" s="74">
        <f t="shared" ref="I17:I80" si="8">B13</f>
        <v>2</v>
      </c>
      <c r="J17" s="42">
        <f t="shared" si="2"/>
        <v>3.472222222222222E-3</v>
      </c>
      <c r="K17" s="61">
        <f t="shared" si="3"/>
        <v>0.28124999999999994</v>
      </c>
      <c r="L17" s="61">
        <f t="shared" si="1"/>
        <v>0.29513888888888884</v>
      </c>
      <c r="M17" s="42">
        <v>3.472222222222222E-3</v>
      </c>
      <c r="N17" s="62">
        <f t="shared" si="4"/>
        <v>0.29861111111111105</v>
      </c>
      <c r="O17" s="43"/>
      <c r="P17" s="88"/>
    </row>
    <row r="18" spans="1:16" x14ac:dyDescent="0.3">
      <c r="A18" s="74">
        <v>7</v>
      </c>
      <c r="B18" s="41">
        <v>7</v>
      </c>
      <c r="C18" s="42">
        <f t="shared" si="6"/>
        <v>3.472222222222222E-3</v>
      </c>
      <c r="D18" s="61">
        <f t="shared" si="7"/>
        <v>0.28124999999999994</v>
      </c>
      <c r="E18" s="61">
        <f t="shared" si="0"/>
        <v>0.29513888888888884</v>
      </c>
      <c r="F18" s="42">
        <v>3.472222222222222E-3</v>
      </c>
      <c r="G18" s="62">
        <f t="shared" si="5"/>
        <v>0.29861111111111105</v>
      </c>
      <c r="I18" s="74">
        <f t="shared" si="8"/>
        <v>3</v>
      </c>
      <c r="J18" s="42">
        <f t="shared" si="2"/>
        <v>3.472222222222222E-3</v>
      </c>
      <c r="K18" s="61">
        <f t="shared" si="3"/>
        <v>0.28472222222222215</v>
      </c>
      <c r="L18" s="61">
        <f t="shared" si="1"/>
        <v>0.29861111111111105</v>
      </c>
      <c r="M18" s="42">
        <v>3.472222222222222E-3</v>
      </c>
      <c r="N18" s="62">
        <f t="shared" si="4"/>
        <v>0.30208333333333326</v>
      </c>
      <c r="O18" s="43"/>
      <c r="P18" s="88"/>
    </row>
    <row r="19" spans="1:16" x14ac:dyDescent="0.3">
      <c r="A19" s="74">
        <v>8</v>
      </c>
      <c r="B19" s="41">
        <v>8</v>
      </c>
      <c r="C19" s="42">
        <f t="shared" si="6"/>
        <v>3.472222222222222E-3</v>
      </c>
      <c r="D19" s="61">
        <f t="shared" si="7"/>
        <v>0.28472222222222215</v>
      </c>
      <c r="E19" s="61">
        <f t="shared" si="0"/>
        <v>0.29861111111111105</v>
      </c>
      <c r="F19" s="42">
        <v>3.472222222222222E-3</v>
      </c>
      <c r="G19" s="62">
        <f t="shared" si="5"/>
        <v>0.30208333333333326</v>
      </c>
      <c r="I19" s="74">
        <f t="shared" si="8"/>
        <v>4</v>
      </c>
      <c r="J19" s="42">
        <f t="shared" si="2"/>
        <v>3.472222222222222E-3</v>
      </c>
      <c r="K19" s="61">
        <f t="shared" si="3"/>
        <v>0.28819444444444436</v>
      </c>
      <c r="L19" s="61">
        <f t="shared" si="1"/>
        <v>0.30208333333333326</v>
      </c>
      <c r="M19" s="42">
        <v>3.472222222222222E-3</v>
      </c>
      <c r="N19" s="62">
        <f t="shared" si="4"/>
        <v>0.30555555555555547</v>
      </c>
      <c r="O19" s="43"/>
      <c r="P19" s="88"/>
    </row>
    <row r="20" spans="1:16" x14ac:dyDescent="0.3">
      <c r="A20" s="74">
        <v>9</v>
      </c>
      <c r="B20" s="41">
        <f>I14</f>
        <v>11</v>
      </c>
      <c r="C20" s="42">
        <f t="shared" si="6"/>
        <v>3.472222222222222E-3</v>
      </c>
      <c r="D20" s="61">
        <f t="shared" si="7"/>
        <v>0.28819444444444436</v>
      </c>
      <c r="E20" s="61">
        <f t="shared" si="0"/>
        <v>0.30208333333333326</v>
      </c>
      <c r="F20" s="42">
        <v>3.472222222222222E-3</v>
      </c>
      <c r="G20" s="62">
        <f t="shared" si="5"/>
        <v>0.30555555555555547</v>
      </c>
      <c r="I20" s="74">
        <f t="shared" si="8"/>
        <v>5</v>
      </c>
      <c r="J20" s="42">
        <f t="shared" si="2"/>
        <v>3.472222222222222E-3</v>
      </c>
      <c r="K20" s="61">
        <f t="shared" si="3"/>
        <v>0.29166666666666657</v>
      </c>
      <c r="L20" s="61">
        <f t="shared" si="1"/>
        <v>0.30555555555555547</v>
      </c>
      <c r="M20" s="42">
        <v>3.472222222222222E-3</v>
      </c>
      <c r="N20" s="62">
        <f t="shared" si="4"/>
        <v>0.30902777777777768</v>
      </c>
      <c r="O20" s="43"/>
      <c r="P20" s="88"/>
    </row>
    <row r="21" spans="1:16" x14ac:dyDescent="0.3">
      <c r="A21" s="74">
        <v>10</v>
      </c>
      <c r="B21" s="41">
        <f t="shared" ref="B21:B49" si="9">I15</f>
        <v>12</v>
      </c>
      <c r="C21" s="42">
        <f t="shared" si="6"/>
        <v>3.472222222222222E-3</v>
      </c>
      <c r="D21" s="61">
        <f t="shared" si="7"/>
        <v>0.29166666666666657</v>
      </c>
      <c r="E21" s="61">
        <f t="shared" si="0"/>
        <v>0.30555555555555547</v>
      </c>
      <c r="F21" s="42">
        <v>3.472222222222222E-3</v>
      </c>
      <c r="G21" s="62">
        <f t="shared" si="5"/>
        <v>0.30902777777777768</v>
      </c>
      <c r="I21" s="74">
        <f t="shared" si="8"/>
        <v>6</v>
      </c>
      <c r="J21" s="42">
        <f t="shared" si="2"/>
        <v>3.472222222222222E-3</v>
      </c>
      <c r="K21" s="61">
        <f t="shared" si="3"/>
        <v>0.29513888888888878</v>
      </c>
      <c r="L21" s="61">
        <f t="shared" si="1"/>
        <v>0.30902777777777768</v>
      </c>
      <c r="M21" s="42">
        <v>3.472222222222222E-3</v>
      </c>
      <c r="N21" s="62">
        <f t="shared" si="4"/>
        <v>0.31249999999999989</v>
      </c>
      <c r="O21" s="43"/>
      <c r="P21" s="88"/>
    </row>
    <row r="22" spans="1:16" x14ac:dyDescent="0.3">
      <c r="A22" s="74">
        <v>11</v>
      </c>
      <c r="B22" s="41">
        <f t="shared" si="9"/>
        <v>1</v>
      </c>
      <c r="C22" s="42">
        <f t="shared" si="6"/>
        <v>3.472222222222222E-3</v>
      </c>
      <c r="D22" s="61">
        <f t="shared" si="7"/>
        <v>0.29513888888888878</v>
      </c>
      <c r="E22" s="61">
        <f t="shared" si="0"/>
        <v>0.30902777777777768</v>
      </c>
      <c r="F22" s="42">
        <v>3.472222222222222E-3</v>
      </c>
      <c r="G22" s="62">
        <f t="shared" si="5"/>
        <v>0.31249999999999989</v>
      </c>
      <c r="I22" s="74">
        <f t="shared" si="8"/>
        <v>7</v>
      </c>
      <c r="J22" s="42">
        <f t="shared" si="2"/>
        <v>3.472222222222222E-3</v>
      </c>
      <c r="K22" s="61">
        <f t="shared" si="3"/>
        <v>0.29861111111111099</v>
      </c>
      <c r="L22" s="61">
        <f t="shared" si="1"/>
        <v>0.31249999999999989</v>
      </c>
      <c r="M22" s="42">
        <v>3.472222222222222E-3</v>
      </c>
      <c r="N22" s="62">
        <f t="shared" si="4"/>
        <v>0.3159722222222221</v>
      </c>
      <c r="O22" s="43"/>
      <c r="P22" s="88"/>
    </row>
    <row r="23" spans="1:16" x14ac:dyDescent="0.3">
      <c r="A23" s="74">
        <v>12</v>
      </c>
      <c r="B23" s="41">
        <f t="shared" si="9"/>
        <v>2</v>
      </c>
      <c r="C23" s="42">
        <f t="shared" si="6"/>
        <v>3.472222222222222E-3</v>
      </c>
      <c r="D23" s="61">
        <f t="shared" si="7"/>
        <v>0.29861111111111099</v>
      </c>
      <c r="E23" s="61">
        <f t="shared" si="0"/>
        <v>0.31249999999999989</v>
      </c>
      <c r="F23" s="42">
        <v>3.472222222222222E-3</v>
      </c>
      <c r="G23" s="62">
        <f t="shared" si="5"/>
        <v>0.3159722222222221</v>
      </c>
      <c r="I23" s="74">
        <f t="shared" si="8"/>
        <v>8</v>
      </c>
      <c r="J23" s="42">
        <f t="shared" si="2"/>
        <v>3.472222222222222E-3</v>
      </c>
      <c r="K23" s="61">
        <f t="shared" si="3"/>
        <v>0.3020833333333332</v>
      </c>
      <c r="L23" s="61">
        <f t="shared" si="1"/>
        <v>0.3159722222222221</v>
      </c>
      <c r="M23" s="42">
        <v>3.472222222222222E-3</v>
      </c>
      <c r="N23" s="62">
        <f t="shared" si="4"/>
        <v>0.31944444444444431</v>
      </c>
      <c r="O23" s="43"/>
      <c r="P23" s="88"/>
    </row>
    <row r="24" spans="1:16" x14ac:dyDescent="0.3">
      <c r="A24" s="74">
        <v>13</v>
      </c>
      <c r="B24" s="41">
        <f t="shared" si="9"/>
        <v>3</v>
      </c>
      <c r="C24" s="42">
        <f t="shared" si="6"/>
        <v>3.472222222222222E-3</v>
      </c>
      <c r="D24" s="61">
        <f t="shared" si="7"/>
        <v>0.3020833333333332</v>
      </c>
      <c r="E24" s="61">
        <f t="shared" si="0"/>
        <v>0.3159722222222221</v>
      </c>
      <c r="F24" s="42">
        <v>3.472222222222222E-3</v>
      </c>
      <c r="G24" s="62">
        <f t="shared" si="5"/>
        <v>0.31944444444444431</v>
      </c>
      <c r="I24" s="74">
        <f t="shared" si="8"/>
        <v>11</v>
      </c>
      <c r="J24" s="42">
        <f t="shared" si="2"/>
        <v>3.472222222222222E-3</v>
      </c>
      <c r="K24" s="61">
        <f t="shared" si="3"/>
        <v>0.30555555555555541</v>
      </c>
      <c r="L24" s="61">
        <f t="shared" si="1"/>
        <v>0.31944444444444431</v>
      </c>
      <c r="M24" s="42">
        <v>3.472222222222222E-3</v>
      </c>
      <c r="N24" s="62">
        <f t="shared" si="4"/>
        <v>0.32291666666666652</v>
      </c>
      <c r="O24" s="43"/>
      <c r="P24" s="88"/>
    </row>
    <row r="25" spans="1:16" x14ac:dyDescent="0.3">
      <c r="A25" s="74">
        <v>14</v>
      </c>
      <c r="B25" s="41">
        <f t="shared" si="9"/>
        <v>4</v>
      </c>
      <c r="C25" s="42">
        <f t="shared" si="6"/>
        <v>3.472222222222222E-3</v>
      </c>
      <c r="D25" s="61">
        <f t="shared" si="7"/>
        <v>0.30555555555555541</v>
      </c>
      <c r="E25" s="61">
        <f t="shared" si="0"/>
        <v>0.31944444444444431</v>
      </c>
      <c r="F25" s="42">
        <v>3.472222222222222E-3</v>
      </c>
      <c r="G25" s="62">
        <f t="shared" si="5"/>
        <v>0.32291666666666652</v>
      </c>
      <c r="I25" s="74">
        <f t="shared" si="8"/>
        <v>12</v>
      </c>
      <c r="J25" s="42">
        <f t="shared" si="2"/>
        <v>3.472222222222222E-3</v>
      </c>
      <c r="K25" s="61">
        <f t="shared" ref="K25:K57" si="10">K24+J25</f>
        <v>0.30902777777777762</v>
      </c>
      <c r="L25" s="61">
        <f t="shared" ref="L25:L57" si="11">K25+$J$6</f>
        <v>0.32291666666666652</v>
      </c>
      <c r="M25" s="42">
        <v>3.472222222222222E-3</v>
      </c>
      <c r="N25" s="62">
        <f t="shared" ref="N25:N57" si="12">L25+M25</f>
        <v>0.32638888888888873</v>
      </c>
      <c r="O25" s="43"/>
      <c r="P25" s="88"/>
    </row>
    <row r="26" spans="1:16" x14ac:dyDescent="0.3">
      <c r="A26" s="74">
        <v>15</v>
      </c>
      <c r="B26" s="41">
        <f t="shared" si="9"/>
        <v>5</v>
      </c>
      <c r="C26" s="42">
        <f t="shared" si="6"/>
        <v>3.472222222222222E-3</v>
      </c>
      <c r="D26" s="61">
        <f>D25+C26</f>
        <v>0.30902777777777762</v>
      </c>
      <c r="E26" s="61">
        <f t="shared" si="0"/>
        <v>0.32291666666666652</v>
      </c>
      <c r="F26" s="42">
        <v>3.472222222222222E-3</v>
      </c>
      <c r="G26" s="62">
        <f t="shared" si="5"/>
        <v>0.32638888888888873</v>
      </c>
      <c r="I26" s="74">
        <f t="shared" si="8"/>
        <v>1</v>
      </c>
      <c r="J26" s="42">
        <f t="shared" si="2"/>
        <v>3.472222222222222E-3</v>
      </c>
      <c r="K26" s="61">
        <f t="shared" si="10"/>
        <v>0.31249999999999983</v>
      </c>
      <c r="L26" s="61">
        <f t="shared" si="11"/>
        <v>0.32638888888888873</v>
      </c>
      <c r="M26" s="42">
        <v>3.472222222222222E-3</v>
      </c>
      <c r="N26" s="62">
        <f t="shared" si="12"/>
        <v>0.32986111111111094</v>
      </c>
      <c r="O26" s="43"/>
      <c r="P26" s="88"/>
    </row>
    <row r="27" spans="1:16" x14ac:dyDescent="0.3">
      <c r="A27" s="74">
        <v>16</v>
      </c>
      <c r="B27" s="41">
        <f t="shared" si="9"/>
        <v>6</v>
      </c>
      <c r="C27" s="42">
        <f t="shared" si="6"/>
        <v>3.472222222222222E-3</v>
      </c>
      <c r="D27" s="61">
        <f t="shared" si="7"/>
        <v>0.31249999999999983</v>
      </c>
      <c r="E27" s="61">
        <f t="shared" si="0"/>
        <v>0.32638888888888873</v>
      </c>
      <c r="F27" s="42">
        <v>3.472222222222222E-3</v>
      </c>
      <c r="G27" s="62">
        <f t="shared" si="5"/>
        <v>0.32986111111111094</v>
      </c>
      <c r="I27" s="74">
        <f t="shared" si="8"/>
        <v>2</v>
      </c>
      <c r="J27" s="42">
        <f t="shared" si="2"/>
        <v>3.472222222222222E-3</v>
      </c>
      <c r="K27" s="61">
        <f t="shared" si="10"/>
        <v>0.31597222222222204</v>
      </c>
      <c r="L27" s="61">
        <f t="shared" si="11"/>
        <v>0.32986111111111094</v>
      </c>
      <c r="M27" s="42">
        <v>3.472222222222222E-3</v>
      </c>
      <c r="N27" s="62">
        <f t="shared" si="12"/>
        <v>0.33333333333333315</v>
      </c>
      <c r="O27" s="43"/>
      <c r="P27" s="88"/>
    </row>
    <row r="28" spans="1:16" x14ac:dyDescent="0.3">
      <c r="A28" s="74">
        <v>17</v>
      </c>
      <c r="B28" s="41">
        <f t="shared" si="9"/>
        <v>7</v>
      </c>
      <c r="C28" s="42">
        <f t="shared" si="6"/>
        <v>3.472222222222222E-3</v>
      </c>
      <c r="D28" s="61">
        <f t="shared" si="7"/>
        <v>0.31597222222222204</v>
      </c>
      <c r="E28" s="61">
        <f t="shared" si="0"/>
        <v>0.32986111111111094</v>
      </c>
      <c r="F28" s="42">
        <v>3.472222222222222E-3</v>
      </c>
      <c r="G28" s="62">
        <f t="shared" si="5"/>
        <v>0.33333333333333315</v>
      </c>
      <c r="I28" s="74">
        <f t="shared" si="8"/>
        <v>3</v>
      </c>
      <c r="J28" s="42">
        <f t="shared" si="2"/>
        <v>3.472222222222222E-3</v>
      </c>
      <c r="K28" s="61">
        <f t="shared" si="10"/>
        <v>0.31944444444444425</v>
      </c>
      <c r="L28" s="61">
        <f t="shared" si="11"/>
        <v>0.33333333333333315</v>
      </c>
      <c r="M28" s="42">
        <v>3.472222222222222E-3</v>
      </c>
      <c r="N28" s="62">
        <f t="shared" si="12"/>
        <v>0.33680555555555536</v>
      </c>
      <c r="O28" s="43"/>
      <c r="P28" s="88"/>
    </row>
    <row r="29" spans="1:16" x14ac:dyDescent="0.3">
      <c r="A29" s="74">
        <v>18</v>
      </c>
      <c r="B29" s="41">
        <f t="shared" si="9"/>
        <v>8</v>
      </c>
      <c r="C29" s="42">
        <f t="shared" si="6"/>
        <v>3.472222222222222E-3</v>
      </c>
      <c r="D29" s="61">
        <f>D28+C29</f>
        <v>0.31944444444444425</v>
      </c>
      <c r="E29" s="61">
        <f t="shared" si="0"/>
        <v>0.33333333333333315</v>
      </c>
      <c r="F29" s="42">
        <v>3.472222222222222E-3</v>
      </c>
      <c r="G29" s="62">
        <f t="shared" si="5"/>
        <v>0.33680555555555536</v>
      </c>
      <c r="I29" s="74">
        <f t="shared" si="8"/>
        <v>4</v>
      </c>
      <c r="J29" s="42">
        <f t="shared" si="2"/>
        <v>3.472222222222222E-3</v>
      </c>
      <c r="K29" s="61">
        <f t="shared" si="10"/>
        <v>0.32291666666666646</v>
      </c>
      <c r="L29" s="61">
        <f t="shared" si="11"/>
        <v>0.33680555555555536</v>
      </c>
      <c r="M29" s="42">
        <v>3.472222222222222E-3</v>
      </c>
      <c r="N29" s="62">
        <f t="shared" si="12"/>
        <v>0.34027777777777757</v>
      </c>
      <c r="O29" s="43"/>
      <c r="P29" s="88"/>
    </row>
    <row r="30" spans="1:16" x14ac:dyDescent="0.3">
      <c r="A30" s="74">
        <v>19</v>
      </c>
      <c r="B30" s="41">
        <f t="shared" si="9"/>
        <v>11</v>
      </c>
      <c r="C30" s="42">
        <f t="shared" si="6"/>
        <v>3.472222222222222E-3</v>
      </c>
      <c r="D30" s="61">
        <f t="shared" si="7"/>
        <v>0.32291666666666646</v>
      </c>
      <c r="E30" s="61">
        <f t="shared" si="0"/>
        <v>0.33680555555555536</v>
      </c>
      <c r="F30" s="42">
        <v>3.472222222222222E-3</v>
      </c>
      <c r="G30" s="62">
        <f t="shared" si="5"/>
        <v>0.34027777777777757</v>
      </c>
      <c r="I30" s="74">
        <f t="shared" si="8"/>
        <v>5</v>
      </c>
      <c r="J30" s="42">
        <f t="shared" si="2"/>
        <v>3.472222222222222E-3</v>
      </c>
      <c r="K30" s="61">
        <f t="shared" si="10"/>
        <v>0.32638888888888867</v>
      </c>
      <c r="L30" s="61">
        <f t="shared" si="11"/>
        <v>0.34027777777777757</v>
      </c>
      <c r="M30" s="42">
        <v>3.472222222222222E-3</v>
      </c>
      <c r="N30" s="62">
        <f t="shared" si="12"/>
        <v>0.34374999999999978</v>
      </c>
      <c r="O30" s="43"/>
      <c r="P30" s="88"/>
    </row>
    <row r="31" spans="1:16" x14ac:dyDescent="0.3">
      <c r="A31" s="74">
        <v>20</v>
      </c>
      <c r="B31" s="41">
        <f t="shared" si="9"/>
        <v>12</v>
      </c>
      <c r="C31" s="42">
        <f t="shared" si="6"/>
        <v>3.472222222222222E-3</v>
      </c>
      <c r="D31" s="61">
        <f t="shared" si="7"/>
        <v>0.32638888888888867</v>
      </c>
      <c r="E31" s="61">
        <f t="shared" ref="E31:E46" si="13">D31+$C$8</f>
        <v>0.34027777777777757</v>
      </c>
      <c r="F31" s="42">
        <v>3.472222222222222E-3</v>
      </c>
      <c r="G31" s="62">
        <f t="shared" ref="G31:G46" si="14">E31+F31</f>
        <v>0.34374999999999978</v>
      </c>
      <c r="I31" s="74">
        <f t="shared" si="8"/>
        <v>6</v>
      </c>
      <c r="J31" s="42">
        <f t="shared" si="2"/>
        <v>3.472222222222222E-3</v>
      </c>
      <c r="K31" s="61">
        <f t="shared" si="10"/>
        <v>0.32986111111111088</v>
      </c>
      <c r="L31" s="61">
        <f t="shared" si="11"/>
        <v>0.34374999999999978</v>
      </c>
      <c r="M31" s="42">
        <v>3.472222222222222E-3</v>
      </c>
      <c r="N31" s="62">
        <f t="shared" ref="N31:N43" si="15">L31+M31</f>
        <v>0.34722222222222199</v>
      </c>
      <c r="O31" s="43"/>
      <c r="P31" s="88"/>
    </row>
    <row r="32" spans="1:16" x14ac:dyDescent="0.3">
      <c r="A32" s="74">
        <v>21</v>
      </c>
      <c r="B32" s="41">
        <f t="shared" si="9"/>
        <v>1</v>
      </c>
      <c r="C32" s="42">
        <f t="shared" si="6"/>
        <v>3.472222222222222E-3</v>
      </c>
      <c r="D32" s="61">
        <f t="shared" ref="D32:D43" si="16">D31+C32</f>
        <v>0.32986111111111088</v>
      </c>
      <c r="E32" s="61">
        <f t="shared" si="13"/>
        <v>0.34374999999999978</v>
      </c>
      <c r="F32" s="42">
        <v>3.472222222222222E-3</v>
      </c>
      <c r="G32" s="62">
        <f t="shared" si="14"/>
        <v>0.34722222222222199</v>
      </c>
      <c r="I32" s="74">
        <f t="shared" si="8"/>
        <v>7</v>
      </c>
      <c r="J32" s="42">
        <f t="shared" si="2"/>
        <v>3.472222222222222E-3</v>
      </c>
      <c r="K32" s="61">
        <f t="shared" si="10"/>
        <v>0.33333333333333309</v>
      </c>
      <c r="L32" s="61">
        <f t="shared" si="11"/>
        <v>0.34722222222222199</v>
      </c>
      <c r="M32" s="42">
        <v>3.472222222222222E-3</v>
      </c>
      <c r="N32" s="62">
        <f t="shared" si="15"/>
        <v>0.3506944444444442</v>
      </c>
      <c r="O32" s="43"/>
      <c r="P32" s="88"/>
    </row>
    <row r="33" spans="1:16" x14ac:dyDescent="0.3">
      <c r="A33" s="74">
        <v>22</v>
      </c>
      <c r="B33" s="41">
        <f t="shared" si="9"/>
        <v>2</v>
      </c>
      <c r="C33" s="42">
        <f t="shared" si="6"/>
        <v>3.472222222222222E-3</v>
      </c>
      <c r="D33" s="61">
        <f t="shared" si="16"/>
        <v>0.33333333333333309</v>
      </c>
      <c r="E33" s="61">
        <f t="shared" si="13"/>
        <v>0.34722222222222199</v>
      </c>
      <c r="F33" s="42">
        <v>3.472222222222222E-3</v>
      </c>
      <c r="G33" s="62">
        <f t="shared" si="14"/>
        <v>0.3506944444444442</v>
      </c>
      <c r="I33" s="74">
        <f t="shared" si="8"/>
        <v>8</v>
      </c>
      <c r="J33" s="42">
        <f t="shared" si="2"/>
        <v>3.472222222222222E-3</v>
      </c>
      <c r="K33" s="61">
        <f t="shared" si="10"/>
        <v>0.3368055555555553</v>
      </c>
      <c r="L33" s="61">
        <f t="shared" si="11"/>
        <v>0.3506944444444442</v>
      </c>
      <c r="M33" s="42">
        <v>3.472222222222222E-3</v>
      </c>
      <c r="N33" s="62">
        <f t="shared" si="15"/>
        <v>0.35416666666666641</v>
      </c>
      <c r="O33" s="43"/>
      <c r="P33" s="88"/>
    </row>
    <row r="34" spans="1:16" x14ac:dyDescent="0.3">
      <c r="A34" s="74">
        <v>23</v>
      </c>
      <c r="B34" s="41">
        <f t="shared" si="9"/>
        <v>3</v>
      </c>
      <c r="C34" s="42">
        <f t="shared" si="6"/>
        <v>3.472222222222222E-3</v>
      </c>
      <c r="D34" s="61">
        <f t="shared" si="16"/>
        <v>0.3368055555555553</v>
      </c>
      <c r="E34" s="61">
        <f t="shared" si="13"/>
        <v>0.3506944444444442</v>
      </c>
      <c r="F34" s="42">
        <v>3.472222222222222E-3</v>
      </c>
      <c r="G34" s="62">
        <f t="shared" si="14"/>
        <v>0.35416666666666641</v>
      </c>
      <c r="I34" s="74">
        <f t="shared" si="8"/>
        <v>11</v>
      </c>
      <c r="J34" s="42">
        <f t="shared" si="2"/>
        <v>3.472222222222222E-3</v>
      </c>
      <c r="K34" s="61">
        <f t="shared" si="10"/>
        <v>0.34027777777777751</v>
      </c>
      <c r="L34" s="61">
        <f t="shared" si="11"/>
        <v>0.35416666666666641</v>
      </c>
      <c r="M34" s="42">
        <v>3.472222222222222E-3</v>
      </c>
      <c r="N34" s="62">
        <f t="shared" si="15"/>
        <v>0.35763888888888862</v>
      </c>
      <c r="O34" s="43"/>
      <c r="P34" s="88"/>
    </row>
    <row r="35" spans="1:16" x14ac:dyDescent="0.3">
      <c r="A35" s="74">
        <v>24</v>
      </c>
      <c r="B35" s="41">
        <f t="shared" si="9"/>
        <v>4</v>
      </c>
      <c r="C35" s="42">
        <f t="shared" si="6"/>
        <v>3.472222222222222E-3</v>
      </c>
      <c r="D35" s="61">
        <f t="shared" si="16"/>
        <v>0.34027777777777751</v>
      </c>
      <c r="E35" s="61">
        <f t="shared" si="13"/>
        <v>0.35416666666666641</v>
      </c>
      <c r="F35" s="42">
        <v>3.472222222222222E-3</v>
      </c>
      <c r="G35" s="62">
        <f t="shared" si="14"/>
        <v>0.35763888888888862</v>
      </c>
      <c r="I35" s="74">
        <f t="shared" si="8"/>
        <v>12</v>
      </c>
      <c r="J35" s="42">
        <f t="shared" si="2"/>
        <v>3.472222222222222E-3</v>
      </c>
      <c r="K35" s="61">
        <f t="shared" ref="K35:K36" si="17">K34+J35</f>
        <v>0.34374999999999972</v>
      </c>
      <c r="L35" s="61">
        <f t="shared" ref="L35:L36" si="18">K35+$J$6</f>
        <v>0.35763888888888862</v>
      </c>
      <c r="M35" s="42">
        <v>3.472222222222222E-3</v>
      </c>
      <c r="N35" s="62">
        <f t="shared" si="15"/>
        <v>0.36111111111111083</v>
      </c>
      <c r="O35" s="43"/>
      <c r="P35" s="88"/>
    </row>
    <row r="36" spans="1:16" ht="15.75" customHeight="1" x14ac:dyDescent="0.3">
      <c r="A36" s="74">
        <v>25</v>
      </c>
      <c r="B36" s="41">
        <f t="shared" si="9"/>
        <v>5</v>
      </c>
      <c r="C36" s="42">
        <f t="shared" si="6"/>
        <v>3.472222222222222E-3</v>
      </c>
      <c r="D36" s="61">
        <f t="shared" si="16"/>
        <v>0.34374999999999972</v>
      </c>
      <c r="E36" s="61">
        <f t="shared" si="13"/>
        <v>0.35763888888888862</v>
      </c>
      <c r="F36" s="42">
        <v>3.472222222222222E-3</v>
      </c>
      <c r="G36" s="62">
        <f t="shared" si="14"/>
        <v>0.36111111111111083</v>
      </c>
      <c r="I36" s="74">
        <f t="shared" si="8"/>
        <v>1</v>
      </c>
      <c r="J36" s="42">
        <f t="shared" si="2"/>
        <v>3.472222222222222E-3</v>
      </c>
      <c r="K36" s="61">
        <f t="shared" si="17"/>
        <v>0.34722222222222193</v>
      </c>
      <c r="L36" s="61">
        <f t="shared" si="18"/>
        <v>0.36111111111111083</v>
      </c>
      <c r="M36" s="42">
        <v>3.472222222222222E-3</v>
      </c>
      <c r="N36" s="62">
        <f t="shared" si="15"/>
        <v>0.36458333333333304</v>
      </c>
      <c r="O36" s="43"/>
      <c r="P36" s="88"/>
    </row>
    <row r="37" spans="1:16" x14ac:dyDescent="0.3">
      <c r="A37" s="74">
        <v>26</v>
      </c>
      <c r="B37" s="41">
        <f t="shared" si="9"/>
        <v>6</v>
      </c>
      <c r="C37" s="42">
        <f t="shared" si="6"/>
        <v>3.472222222222222E-3</v>
      </c>
      <c r="D37" s="61">
        <f t="shared" si="16"/>
        <v>0.34722222222222193</v>
      </c>
      <c r="E37" s="61">
        <f t="shared" si="13"/>
        <v>0.36111111111111083</v>
      </c>
      <c r="F37" s="42">
        <v>3.472222222222222E-3</v>
      </c>
      <c r="G37" s="62">
        <f t="shared" si="14"/>
        <v>0.36458333333333304</v>
      </c>
      <c r="I37" s="74">
        <f t="shared" si="8"/>
        <v>2</v>
      </c>
      <c r="J37" s="73">
        <f t="shared" si="2"/>
        <v>3.472222222222222E-3</v>
      </c>
      <c r="K37" s="65">
        <f t="shared" si="10"/>
        <v>0.35069444444444414</v>
      </c>
      <c r="L37" s="65">
        <f t="shared" si="11"/>
        <v>0.36458333333333304</v>
      </c>
      <c r="M37" s="42">
        <v>3.472222222222222E-3</v>
      </c>
      <c r="N37" s="62">
        <f t="shared" si="15"/>
        <v>0.36805555555555525</v>
      </c>
      <c r="O37" s="43"/>
      <c r="P37" s="88"/>
    </row>
    <row r="38" spans="1:16" x14ac:dyDescent="0.3">
      <c r="A38" s="74">
        <v>27</v>
      </c>
      <c r="B38" s="41">
        <f t="shared" si="9"/>
        <v>7</v>
      </c>
      <c r="C38" s="42">
        <f t="shared" si="6"/>
        <v>3.472222222222222E-3</v>
      </c>
      <c r="D38" s="61">
        <f t="shared" si="16"/>
        <v>0.35069444444444414</v>
      </c>
      <c r="E38" s="61">
        <f t="shared" si="13"/>
        <v>0.36458333333333304</v>
      </c>
      <c r="F38" s="42">
        <v>3.472222222222222E-3</v>
      </c>
      <c r="G38" s="62">
        <f t="shared" si="14"/>
        <v>0.36805555555555525</v>
      </c>
      <c r="I38" s="74">
        <f t="shared" si="8"/>
        <v>3</v>
      </c>
      <c r="J38" s="42">
        <f t="shared" si="2"/>
        <v>3.472222222222222E-3</v>
      </c>
      <c r="K38" s="61">
        <f t="shared" si="10"/>
        <v>0.35416666666666635</v>
      </c>
      <c r="L38" s="61">
        <f t="shared" si="11"/>
        <v>0.36805555555555525</v>
      </c>
      <c r="M38" s="42">
        <v>3.472222222222222E-3</v>
      </c>
      <c r="N38" s="62">
        <f t="shared" si="15"/>
        <v>0.37152777777777746</v>
      </c>
      <c r="O38" s="43"/>
      <c r="P38" s="88"/>
    </row>
    <row r="39" spans="1:16" ht="15.75" customHeight="1" x14ac:dyDescent="0.3">
      <c r="A39" s="74">
        <v>28</v>
      </c>
      <c r="B39" s="41">
        <f t="shared" si="9"/>
        <v>8</v>
      </c>
      <c r="C39" s="42">
        <f t="shared" si="6"/>
        <v>3.472222222222222E-3</v>
      </c>
      <c r="D39" s="61">
        <f t="shared" si="16"/>
        <v>0.35416666666666635</v>
      </c>
      <c r="E39" s="61">
        <f t="shared" si="13"/>
        <v>0.36805555555555525</v>
      </c>
      <c r="F39" s="42">
        <v>3.472222222222222E-3</v>
      </c>
      <c r="G39" s="62">
        <f t="shared" si="14"/>
        <v>0.37152777777777746</v>
      </c>
      <c r="I39" s="74">
        <f t="shared" si="8"/>
        <v>4</v>
      </c>
      <c r="J39" s="42">
        <f t="shared" si="2"/>
        <v>3.472222222222222E-3</v>
      </c>
      <c r="K39" s="61">
        <f t="shared" ref="K39" si="19">K38+J39</f>
        <v>0.35763888888888856</v>
      </c>
      <c r="L39" s="61">
        <f t="shared" ref="L39" si="20">K39+$J$6</f>
        <v>0.37152777777777746</v>
      </c>
      <c r="M39" s="42">
        <v>3.472222222222222E-3</v>
      </c>
      <c r="N39" s="62">
        <f t="shared" ref="N39" si="21">L39+M39</f>
        <v>0.37499999999999967</v>
      </c>
      <c r="O39" s="43"/>
      <c r="P39" s="88"/>
    </row>
    <row r="40" spans="1:16" x14ac:dyDescent="0.3">
      <c r="A40" s="74">
        <v>29</v>
      </c>
      <c r="B40" s="41">
        <f t="shared" si="9"/>
        <v>11</v>
      </c>
      <c r="C40" s="42">
        <f t="shared" si="6"/>
        <v>3.472222222222222E-3</v>
      </c>
      <c r="D40" s="61">
        <f t="shared" si="16"/>
        <v>0.35763888888888856</v>
      </c>
      <c r="E40" s="61">
        <f t="shared" si="13"/>
        <v>0.37152777777777746</v>
      </c>
      <c r="F40" s="42">
        <v>3.472222222222222E-3</v>
      </c>
      <c r="G40" s="62">
        <f t="shared" si="14"/>
        <v>0.37499999999999967</v>
      </c>
      <c r="I40" s="74">
        <f t="shared" si="8"/>
        <v>5</v>
      </c>
      <c r="J40" s="73">
        <f t="shared" si="2"/>
        <v>3.472222222222222E-3</v>
      </c>
      <c r="K40" s="65">
        <f t="shared" ref="K40:K46" si="22">K39+J40</f>
        <v>0.36111111111111077</v>
      </c>
      <c r="L40" s="65">
        <f t="shared" ref="L40:L46" si="23">K40+$J$6</f>
        <v>0.37499999999999967</v>
      </c>
      <c r="M40" s="42">
        <v>4.1666666666666666E-3</v>
      </c>
      <c r="N40" s="62">
        <f t="shared" si="15"/>
        <v>0.37916666666666632</v>
      </c>
      <c r="O40" s="43"/>
      <c r="P40" s="88"/>
    </row>
    <row r="41" spans="1:16" x14ac:dyDescent="0.3">
      <c r="A41" s="74">
        <v>30</v>
      </c>
      <c r="B41" s="41">
        <f t="shared" si="9"/>
        <v>12</v>
      </c>
      <c r="C41" s="42">
        <f t="shared" si="6"/>
        <v>3.472222222222222E-3</v>
      </c>
      <c r="D41" s="61">
        <f t="shared" si="16"/>
        <v>0.36111111111111077</v>
      </c>
      <c r="E41" s="61">
        <f t="shared" si="13"/>
        <v>0.37499999999999967</v>
      </c>
      <c r="F41" s="42">
        <v>3.472222222222222E-3</v>
      </c>
      <c r="G41" s="62">
        <f t="shared" si="14"/>
        <v>0.37847222222222188</v>
      </c>
      <c r="I41" s="74">
        <f t="shared" si="8"/>
        <v>6</v>
      </c>
      <c r="J41" s="42">
        <f t="shared" si="2"/>
        <v>3.472222222222222E-3</v>
      </c>
      <c r="K41" s="61">
        <f t="shared" si="22"/>
        <v>0.36458333333333298</v>
      </c>
      <c r="L41" s="61">
        <f t="shared" si="23"/>
        <v>0.37847222222222188</v>
      </c>
      <c r="M41" s="42">
        <v>4.8611111111111112E-3</v>
      </c>
      <c r="N41" s="62">
        <f t="shared" si="15"/>
        <v>0.38333333333333297</v>
      </c>
      <c r="O41" s="43"/>
      <c r="P41" s="88"/>
    </row>
    <row r="42" spans="1:16" ht="15.75" customHeight="1" x14ac:dyDescent="0.3">
      <c r="A42" s="74">
        <v>31</v>
      </c>
      <c r="B42" s="41">
        <f t="shared" si="9"/>
        <v>1</v>
      </c>
      <c r="C42" s="42">
        <f t="shared" si="6"/>
        <v>3.472222222222222E-3</v>
      </c>
      <c r="D42" s="61">
        <f t="shared" si="16"/>
        <v>0.36458333333333298</v>
      </c>
      <c r="E42" s="61">
        <f t="shared" si="13"/>
        <v>0.37847222222222188</v>
      </c>
      <c r="F42" s="42">
        <v>4.1666666666666666E-3</v>
      </c>
      <c r="G42" s="62">
        <f t="shared" si="14"/>
        <v>0.38263888888888853</v>
      </c>
      <c r="I42" s="74">
        <f t="shared" si="8"/>
        <v>7</v>
      </c>
      <c r="J42" s="73">
        <f t="shared" si="2"/>
        <v>3.472222222222222E-3</v>
      </c>
      <c r="K42" s="65">
        <f t="shared" si="22"/>
        <v>0.36805555555555519</v>
      </c>
      <c r="L42" s="65">
        <f t="shared" si="23"/>
        <v>0.38194444444444409</v>
      </c>
      <c r="M42" s="42">
        <v>5.5555555555555601E-3</v>
      </c>
      <c r="N42" s="62">
        <f t="shared" ref="N42" si="24">L42+M42</f>
        <v>0.38749999999999962</v>
      </c>
      <c r="O42" s="43"/>
      <c r="P42" s="88"/>
    </row>
    <row r="43" spans="1:16" ht="15" thickBot="1" x14ac:dyDescent="0.35">
      <c r="A43" s="74">
        <v>32</v>
      </c>
      <c r="B43" s="41">
        <f t="shared" si="9"/>
        <v>2</v>
      </c>
      <c r="C43" s="42">
        <f t="shared" si="6"/>
        <v>3.472222222222222E-3</v>
      </c>
      <c r="D43" s="61">
        <f t="shared" si="16"/>
        <v>0.36805555555555519</v>
      </c>
      <c r="E43" s="61">
        <f t="shared" si="13"/>
        <v>0.38194444444444409</v>
      </c>
      <c r="F43" s="42">
        <v>4.8611111111111112E-3</v>
      </c>
      <c r="G43" s="62">
        <f t="shared" si="14"/>
        <v>0.38680555555555518</v>
      </c>
      <c r="I43" s="74">
        <f t="shared" si="8"/>
        <v>8</v>
      </c>
      <c r="J43" s="73">
        <f t="shared" si="2"/>
        <v>3.472222222222222E-3</v>
      </c>
      <c r="K43" s="65">
        <f t="shared" si="22"/>
        <v>0.3715277777777774</v>
      </c>
      <c r="L43" s="65">
        <f t="shared" si="23"/>
        <v>0.3854166666666663</v>
      </c>
      <c r="M43" s="42">
        <v>6.2500000000000003E-3</v>
      </c>
      <c r="N43" s="64">
        <f t="shared" si="15"/>
        <v>0.39166666666666627</v>
      </c>
      <c r="O43" s="43"/>
      <c r="P43" s="88"/>
    </row>
    <row r="44" spans="1:16" ht="15" thickBot="1" x14ac:dyDescent="0.35">
      <c r="A44" s="74">
        <v>33</v>
      </c>
      <c r="B44" s="41">
        <f t="shared" si="9"/>
        <v>3</v>
      </c>
      <c r="C44" s="42">
        <f t="shared" si="6"/>
        <v>3.472222222222222E-3</v>
      </c>
      <c r="D44" s="61">
        <f>D43+C44</f>
        <v>0.3715277777777774</v>
      </c>
      <c r="E44" s="61">
        <f t="shared" si="13"/>
        <v>0.3854166666666663</v>
      </c>
      <c r="F44" s="42">
        <v>5.5555555555555601E-3</v>
      </c>
      <c r="G44" s="62">
        <f t="shared" si="14"/>
        <v>0.39097222222222183</v>
      </c>
      <c r="I44" s="74">
        <f t="shared" si="8"/>
        <v>11</v>
      </c>
      <c r="J44" s="84">
        <f t="shared" si="2"/>
        <v>3.472222222222222E-3</v>
      </c>
      <c r="K44" s="85">
        <f t="shared" si="22"/>
        <v>0.37499999999999961</v>
      </c>
      <c r="L44" s="89">
        <f t="shared" si="23"/>
        <v>0.38888888888888851</v>
      </c>
      <c r="M44" s="210" t="s">
        <v>84</v>
      </c>
      <c r="N44" s="211"/>
      <c r="O44" s="43"/>
      <c r="P44" s="88"/>
    </row>
    <row r="45" spans="1:16" ht="15" thickBot="1" x14ac:dyDescent="0.35">
      <c r="A45" s="82">
        <v>34</v>
      </c>
      <c r="B45" s="110">
        <f t="shared" si="9"/>
        <v>4</v>
      </c>
      <c r="C45" s="48">
        <f t="shared" si="6"/>
        <v>3.472222222222222E-3</v>
      </c>
      <c r="D45" s="63">
        <f>D44+C45</f>
        <v>0.37499999999999961</v>
      </c>
      <c r="E45" s="63">
        <f t="shared" si="13"/>
        <v>0.38888888888888851</v>
      </c>
      <c r="F45" s="48">
        <v>6.2500000000000003E-3</v>
      </c>
      <c r="G45" s="64">
        <f t="shared" si="14"/>
        <v>0.39513888888888848</v>
      </c>
      <c r="I45" s="75">
        <f t="shared" si="8"/>
        <v>12</v>
      </c>
      <c r="J45" s="83">
        <f t="shared" si="2"/>
        <v>3.472222222222222E-3</v>
      </c>
      <c r="K45" s="66">
        <f t="shared" si="22"/>
        <v>0.37847222222222182</v>
      </c>
      <c r="L45" s="66">
        <f t="shared" si="23"/>
        <v>0.39236111111111072</v>
      </c>
      <c r="M45" s="97">
        <v>3.472222222222222E-3</v>
      </c>
      <c r="N45" s="98">
        <f t="shared" ref="N45:N46" si="25">L45+M45</f>
        <v>0.39583333333333293</v>
      </c>
      <c r="O45" s="43"/>
      <c r="P45" s="88"/>
    </row>
    <row r="46" spans="1:16" x14ac:dyDescent="0.3">
      <c r="A46" s="71">
        <v>35</v>
      </c>
      <c r="B46" s="72">
        <f t="shared" si="9"/>
        <v>5</v>
      </c>
      <c r="C46" s="54">
        <f t="shared" ref="C46:C75" si="26">D$3</f>
        <v>4.1666666666666666E-3</v>
      </c>
      <c r="D46" s="55">
        <f t="shared" ref="D46" si="27">D45+C46</f>
        <v>0.37916666666666626</v>
      </c>
      <c r="E46" s="55">
        <f t="shared" si="13"/>
        <v>0.39305555555555516</v>
      </c>
      <c r="F46" s="54">
        <v>6.2500000000000003E-3</v>
      </c>
      <c r="G46" s="56">
        <f t="shared" si="14"/>
        <v>0.39930555555555514</v>
      </c>
      <c r="I46" s="71">
        <f t="shared" si="8"/>
        <v>1</v>
      </c>
      <c r="J46" s="87">
        <f t="shared" si="2"/>
        <v>4.1666666666666666E-3</v>
      </c>
      <c r="K46" s="55">
        <f t="shared" si="22"/>
        <v>0.38263888888888847</v>
      </c>
      <c r="L46" s="55">
        <f t="shared" si="23"/>
        <v>0.39652777777777737</v>
      </c>
      <c r="M46" s="87">
        <v>3.472222222222222E-3</v>
      </c>
      <c r="N46" s="99">
        <f t="shared" si="25"/>
        <v>0.39999999999999958</v>
      </c>
      <c r="O46" s="43"/>
      <c r="P46" s="88"/>
    </row>
    <row r="47" spans="1:16" x14ac:dyDescent="0.3">
      <c r="A47" s="74">
        <v>36</v>
      </c>
      <c r="B47" s="41">
        <f t="shared" si="9"/>
        <v>6</v>
      </c>
      <c r="C47" s="42">
        <f t="shared" si="26"/>
        <v>4.1666666666666666E-3</v>
      </c>
      <c r="D47" s="61">
        <f t="shared" si="7"/>
        <v>0.38333333333333292</v>
      </c>
      <c r="E47" s="61">
        <f t="shared" si="0"/>
        <v>0.39722222222222181</v>
      </c>
      <c r="F47" s="42">
        <v>6.2500000000000003E-3</v>
      </c>
      <c r="G47" s="62">
        <f t="shared" si="5"/>
        <v>0.40347222222222179</v>
      </c>
      <c r="I47" s="74">
        <f t="shared" si="8"/>
        <v>2</v>
      </c>
      <c r="J47" s="73">
        <f t="shared" si="2"/>
        <v>4.1666666666666666E-3</v>
      </c>
      <c r="K47" s="65">
        <f t="shared" ref="K47" si="28">K46+J47</f>
        <v>0.38680555555555513</v>
      </c>
      <c r="L47" s="65">
        <f t="shared" ref="L47" si="29">K47+$J$6</f>
        <v>0.40069444444444402</v>
      </c>
      <c r="M47" s="73">
        <v>3.472222222222222E-3</v>
      </c>
      <c r="N47" s="62">
        <f t="shared" si="12"/>
        <v>0.40416666666666623</v>
      </c>
      <c r="O47" s="43"/>
      <c r="P47" s="88"/>
    </row>
    <row r="48" spans="1:16" x14ac:dyDescent="0.3">
      <c r="A48" s="74">
        <v>37</v>
      </c>
      <c r="B48" s="41">
        <f t="shared" si="9"/>
        <v>7</v>
      </c>
      <c r="C48" s="42">
        <f>D$3</f>
        <v>4.1666666666666666E-3</v>
      </c>
      <c r="D48" s="65">
        <f t="shared" si="7"/>
        <v>0.38749999999999957</v>
      </c>
      <c r="E48" s="61">
        <f t="shared" si="0"/>
        <v>0.40138888888888846</v>
      </c>
      <c r="F48" s="42">
        <v>6.2500000000000003E-3</v>
      </c>
      <c r="G48" s="62">
        <f t="shared" si="5"/>
        <v>0.40763888888888844</v>
      </c>
      <c r="I48" s="74">
        <f t="shared" si="8"/>
        <v>3</v>
      </c>
      <c r="J48" s="73">
        <f t="shared" si="2"/>
        <v>4.1666666666666666E-3</v>
      </c>
      <c r="K48" s="65">
        <f t="shared" si="10"/>
        <v>0.39097222222222178</v>
      </c>
      <c r="L48" s="65">
        <f t="shared" si="11"/>
        <v>0.40486111111111067</v>
      </c>
      <c r="M48" s="73">
        <v>3.472222222222222E-3</v>
      </c>
      <c r="N48" s="62">
        <f t="shared" si="12"/>
        <v>0.40833333333333288</v>
      </c>
      <c r="O48" s="43"/>
      <c r="P48" s="88"/>
    </row>
    <row r="49" spans="1:19" x14ac:dyDescent="0.3">
      <c r="A49" s="74">
        <v>38</v>
      </c>
      <c r="B49" s="41">
        <f t="shared" si="9"/>
        <v>8</v>
      </c>
      <c r="C49" s="42">
        <f t="shared" si="26"/>
        <v>4.1666666666666666E-3</v>
      </c>
      <c r="D49" s="61">
        <f t="shared" si="7"/>
        <v>0.39166666666666622</v>
      </c>
      <c r="E49" s="61">
        <f t="shared" si="0"/>
        <v>0.40555555555555511</v>
      </c>
      <c r="F49" s="42">
        <v>6.2500000000000003E-3</v>
      </c>
      <c r="G49" s="62">
        <f t="shared" si="5"/>
        <v>0.41180555555555509</v>
      </c>
      <c r="I49" s="74">
        <f t="shared" si="8"/>
        <v>4</v>
      </c>
      <c r="J49" s="73">
        <f t="shared" si="2"/>
        <v>4.1666666666666666E-3</v>
      </c>
      <c r="K49" s="65">
        <f t="shared" si="10"/>
        <v>0.39513888888888843</v>
      </c>
      <c r="L49" s="65">
        <f t="shared" si="11"/>
        <v>0.40902777777777732</v>
      </c>
      <c r="M49" s="73">
        <v>3.472222222222222E-3</v>
      </c>
      <c r="N49" s="62">
        <f t="shared" si="12"/>
        <v>0.41249999999999953</v>
      </c>
      <c r="O49" s="43"/>
      <c r="P49" s="88"/>
    </row>
    <row r="50" spans="1:19" ht="15" thickBot="1" x14ac:dyDescent="0.35">
      <c r="A50" s="74">
        <v>39</v>
      </c>
      <c r="B50" s="41">
        <f>I45</f>
        <v>12</v>
      </c>
      <c r="C50" s="42">
        <f t="shared" si="26"/>
        <v>4.1666666666666666E-3</v>
      </c>
      <c r="D50" s="61">
        <f t="shared" si="7"/>
        <v>0.39583333333333287</v>
      </c>
      <c r="E50" s="61">
        <f t="shared" si="0"/>
        <v>0.40972222222222177</v>
      </c>
      <c r="F50" s="42">
        <v>6.2500000000000003E-3</v>
      </c>
      <c r="G50" s="62">
        <f t="shared" si="5"/>
        <v>0.41597222222222174</v>
      </c>
      <c r="I50" s="74">
        <f t="shared" si="8"/>
        <v>5</v>
      </c>
      <c r="J50" s="73">
        <f t="shared" si="2"/>
        <v>4.1666666666666666E-3</v>
      </c>
      <c r="K50" s="65">
        <f t="shared" si="10"/>
        <v>0.39930555555555508</v>
      </c>
      <c r="L50" s="65">
        <f t="shared" si="11"/>
        <v>0.41319444444444398</v>
      </c>
      <c r="M50" s="73">
        <v>3.472222222222222E-3</v>
      </c>
      <c r="N50" s="62">
        <f t="shared" si="12"/>
        <v>0.41666666666666619</v>
      </c>
      <c r="O50" s="43"/>
      <c r="P50" s="88"/>
    </row>
    <row r="51" spans="1:19" ht="15" thickBot="1" x14ac:dyDescent="0.35">
      <c r="A51" s="74">
        <v>40</v>
      </c>
      <c r="B51" s="41">
        <f t="shared" ref="B51:B75" si="30">I46</f>
        <v>1</v>
      </c>
      <c r="C51" s="42">
        <f t="shared" si="26"/>
        <v>4.1666666666666666E-3</v>
      </c>
      <c r="D51" s="61">
        <f t="shared" si="7"/>
        <v>0.39999999999999952</v>
      </c>
      <c r="E51" s="61">
        <f t="shared" si="0"/>
        <v>0.41388888888888842</v>
      </c>
      <c r="F51" s="42">
        <v>6.2500000000000003E-3</v>
      </c>
      <c r="G51" s="62">
        <f t="shared" si="5"/>
        <v>0.4201388888888884</v>
      </c>
      <c r="I51" s="74">
        <f t="shared" si="8"/>
        <v>6</v>
      </c>
      <c r="J51" s="42">
        <f t="shared" si="2"/>
        <v>4.1666666666666666E-3</v>
      </c>
      <c r="K51" s="61">
        <f t="shared" si="10"/>
        <v>0.40347222222222173</v>
      </c>
      <c r="L51" s="61">
        <f t="shared" si="11"/>
        <v>0.41736111111111063</v>
      </c>
      <c r="M51" s="73">
        <v>3.472222222222222E-3</v>
      </c>
      <c r="N51" s="62">
        <f t="shared" si="12"/>
        <v>0.42083333333333284</v>
      </c>
      <c r="O51" s="43"/>
      <c r="P51" s="88"/>
      <c r="R51" s="205"/>
      <c r="S51" s="206"/>
    </row>
    <row r="52" spans="1:19" x14ac:dyDescent="0.3">
      <c r="A52" s="74">
        <v>41</v>
      </c>
      <c r="B52" s="41">
        <f t="shared" si="30"/>
        <v>2</v>
      </c>
      <c r="C52" s="42">
        <f t="shared" si="26"/>
        <v>4.1666666666666666E-3</v>
      </c>
      <c r="D52" s="61">
        <f t="shared" si="7"/>
        <v>0.40416666666666617</v>
      </c>
      <c r="E52" s="61">
        <f t="shared" si="0"/>
        <v>0.41805555555555507</v>
      </c>
      <c r="F52" s="42">
        <v>6.2500000000000003E-3</v>
      </c>
      <c r="G52" s="62">
        <f t="shared" si="5"/>
        <v>0.42430555555555505</v>
      </c>
      <c r="I52" s="74">
        <f t="shared" si="8"/>
        <v>7</v>
      </c>
      <c r="J52" s="42">
        <f t="shared" si="2"/>
        <v>4.1666666666666666E-3</v>
      </c>
      <c r="K52" s="61">
        <f t="shared" si="10"/>
        <v>0.40763888888888838</v>
      </c>
      <c r="L52" s="61">
        <f t="shared" si="11"/>
        <v>0.42152777777777728</v>
      </c>
      <c r="M52" s="73">
        <v>3.472222222222222E-3</v>
      </c>
      <c r="N52" s="62">
        <f t="shared" si="12"/>
        <v>0.42499999999999949</v>
      </c>
      <c r="O52" s="43"/>
      <c r="P52" s="88"/>
    </row>
    <row r="53" spans="1:19" x14ac:dyDescent="0.3">
      <c r="A53" s="74">
        <v>42</v>
      </c>
      <c r="B53" s="41">
        <f t="shared" si="30"/>
        <v>3</v>
      </c>
      <c r="C53" s="42">
        <f t="shared" si="26"/>
        <v>4.1666666666666666E-3</v>
      </c>
      <c r="D53" s="61">
        <f t="shared" si="7"/>
        <v>0.40833333333333283</v>
      </c>
      <c r="E53" s="61">
        <f t="shared" si="0"/>
        <v>0.42222222222222172</v>
      </c>
      <c r="F53" s="42">
        <v>6.2500000000000003E-3</v>
      </c>
      <c r="G53" s="62">
        <f t="shared" si="5"/>
        <v>0.4284722222222217</v>
      </c>
      <c r="I53" s="74">
        <f t="shared" si="8"/>
        <v>8</v>
      </c>
      <c r="J53" s="42">
        <f t="shared" si="2"/>
        <v>4.1666666666666666E-3</v>
      </c>
      <c r="K53" s="61">
        <f t="shared" si="10"/>
        <v>0.41180555555555504</v>
      </c>
      <c r="L53" s="61">
        <f t="shared" si="11"/>
        <v>0.42569444444444393</v>
      </c>
      <c r="M53" s="73">
        <v>3.472222222222222E-3</v>
      </c>
      <c r="N53" s="62">
        <f t="shared" si="12"/>
        <v>0.42916666666666614</v>
      </c>
      <c r="O53" s="43"/>
      <c r="P53" s="88"/>
    </row>
    <row r="54" spans="1:19" x14ac:dyDescent="0.3">
      <c r="A54" s="74">
        <v>43</v>
      </c>
      <c r="B54" s="41">
        <f t="shared" si="30"/>
        <v>4</v>
      </c>
      <c r="C54" s="42">
        <f t="shared" si="26"/>
        <v>4.1666666666666666E-3</v>
      </c>
      <c r="D54" s="61">
        <f t="shared" si="7"/>
        <v>0.41249999999999948</v>
      </c>
      <c r="E54" s="61">
        <f t="shared" si="0"/>
        <v>0.42638888888888837</v>
      </c>
      <c r="F54" s="42">
        <v>6.2500000000000003E-3</v>
      </c>
      <c r="G54" s="62">
        <f t="shared" si="5"/>
        <v>0.43263888888888835</v>
      </c>
      <c r="I54" s="74">
        <f t="shared" si="8"/>
        <v>12</v>
      </c>
      <c r="J54" s="42">
        <f t="shared" si="2"/>
        <v>4.1666666666666666E-3</v>
      </c>
      <c r="K54" s="61">
        <f t="shared" si="10"/>
        <v>0.41597222222222169</v>
      </c>
      <c r="L54" s="61">
        <f t="shared" si="11"/>
        <v>0.42986111111111058</v>
      </c>
      <c r="M54" s="73">
        <v>3.472222222222222E-3</v>
      </c>
      <c r="N54" s="62">
        <f t="shared" si="12"/>
        <v>0.43333333333333279</v>
      </c>
      <c r="O54" s="43"/>
      <c r="P54" s="88"/>
    </row>
    <row r="55" spans="1:19" x14ac:dyDescent="0.3">
      <c r="A55" s="74">
        <v>44</v>
      </c>
      <c r="B55" s="41">
        <f t="shared" si="30"/>
        <v>5</v>
      </c>
      <c r="C55" s="42">
        <f t="shared" si="26"/>
        <v>4.1666666666666666E-3</v>
      </c>
      <c r="D55" s="61">
        <f t="shared" si="7"/>
        <v>0.41666666666666613</v>
      </c>
      <c r="E55" s="61">
        <f t="shared" si="0"/>
        <v>0.43055555555555503</v>
      </c>
      <c r="F55" s="42">
        <v>6.2500000000000003E-3</v>
      </c>
      <c r="G55" s="62">
        <f t="shared" si="5"/>
        <v>0.436805555555555</v>
      </c>
      <c r="I55" s="74">
        <f t="shared" si="8"/>
        <v>1</v>
      </c>
      <c r="J55" s="42">
        <f t="shared" si="2"/>
        <v>4.1666666666666666E-3</v>
      </c>
      <c r="K55" s="61">
        <f t="shared" si="10"/>
        <v>0.42013888888888834</v>
      </c>
      <c r="L55" s="61">
        <f t="shared" si="11"/>
        <v>0.43402777777777724</v>
      </c>
      <c r="M55" s="73">
        <v>3.472222222222222E-3</v>
      </c>
      <c r="N55" s="62">
        <f t="shared" si="12"/>
        <v>0.43749999999999944</v>
      </c>
      <c r="O55" s="43"/>
      <c r="P55" s="88"/>
    </row>
    <row r="56" spans="1:19" x14ac:dyDescent="0.3">
      <c r="A56" s="74">
        <v>45</v>
      </c>
      <c r="B56" s="41">
        <f t="shared" si="30"/>
        <v>6</v>
      </c>
      <c r="C56" s="42">
        <f t="shared" si="26"/>
        <v>4.1666666666666666E-3</v>
      </c>
      <c r="D56" s="61">
        <f t="shared" si="7"/>
        <v>0.42083333333333278</v>
      </c>
      <c r="E56" s="61">
        <f t="shared" si="0"/>
        <v>0.43472222222222168</v>
      </c>
      <c r="F56" s="42">
        <v>6.2500000000000003E-3</v>
      </c>
      <c r="G56" s="62">
        <f t="shared" si="5"/>
        <v>0.44097222222222165</v>
      </c>
      <c r="I56" s="74">
        <f t="shared" si="8"/>
        <v>2</v>
      </c>
      <c r="J56" s="42">
        <f t="shared" si="2"/>
        <v>4.1666666666666666E-3</v>
      </c>
      <c r="K56" s="61">
        <f t="shared" si="10"/>
        <v>0.42430555555555499</v>
      </c>
      <c r="L56" s="61">
        <f t="shared" si="11"/>
        <v>0.43819444444444389</v>
      </c>
      <c r="M56" s="73">
        <v>3.472222222222222E-3</v>
      </c>
      <c r="N56" s="62">
        <f t="shared" si="12"/>
        <v>0.4416666666666661</v>
      </c>
      <c r="O56" s="43"/>
      <c r="P56" s="88"/>
    </row>
    <row r="57" spans="1:19" x14ac:dyDescent="0.3">
      <c r="A57" s="74">
        <v>46</v>
      </c>
      <c r="B57" s="41">
        <f t="shared" si="30"/>
        <v>7</v>
      </c>
      <c r="C57" s="42">
        <f t="shared" si="26"/>
        <v>4.1666666666666666E-3</v>
      </c>
      <c r="D57" s="61">
        <f t="shared" si="7"/>
        <v>0.42499999999999943</v>
      </c>
      <c r="E57" s="61">
        <f t="shared" si="0"/>
        <v>0.43888888888888833</v>
      </c>
      <c r="F57" s="42">
        <v>6.2500000000000003E-3</v>
      </c>
      <c r="G57" s="62">
        <f t="shared" si="5"/>
        <v>0.44513888888888831</v>
      </c>
      <c r="I57" s="74">
        <f t="shared" si="8"/>
        <v>3</v>
      </c>
      <c r="J57" s="42">
        <f t="shared" si="2"/>
        <v>4.1666666666666666E-3</v>
      </c>
      <c r="K57" s="61">
        <f t="shared" si="10"/>
        <v>0.42847222222222164</v>
      </c>
      <c r="L57" s="61">
        <f t="shared" si="11"/>
        <v>0.44236111111111054</v>
      </c>
      <c r="M57" s="73">
        <v>3.472222222222222E-3</v>
      </c>
      <c r="N57" s="62">
        <f t="shared" si="12"/>
        <v>0.44583333333333275</v>
      </c>
      <c r="O57" s="43"/>
      <c r="P57" s="88"/>
    </row>
    <row r="58" spans="1:19" x14ac:dyDescent="0.3">
      <c r="A58" s="74">
        <v>47</v>
      </c>
      <c r="B58" s="41">
        <f t="shared" si="30"/>
        <v>8</v>
      </c>
      <c r="C58" s="42">
        <f t="shared" si="26"/>
        <v>4.1666666666666666E-3</v>
      </c>
      <c r="D58" s="61">
        <f t="shared" si="7"/>
        <v>0.42916666666666609</v>
      </c>
      <c r="E58" s="61">
        <f t="shared" si="0"/>
        <v>0.44305555555555498</v>
      </c>
      <c r="F58" s="42">
        <v>6.2500000000000003E-3</v>
      </c>
      <c r="G58" s="62">
        <f t="shared" si="5"/>
        <v>0.44930555555555496</v>
      </c>
      <c r="I58" s="74">
        <f t="shared" si="8"/>
        <v>4</v>
      </c>
      <c r="J58" s="42">
        <f t="shared" si="2"/>
        <v>4.1666666666666666E-3</v>
      </c>
      <c r="K58" s="61">
        <f t="shared" si="3"/>
        <v>0.4326388888888883</v>
      </c>
      <c r="L58" s="61">
        <f t="shared" si="1"/>
        <v>0.44652777777777719</v>
      </c>
      <c r="M58" s="73">
        <v>3.472222222222222E-3</v>
      </c>
      <c r="N58" s="62">
        <f t="shared" si="4"/>
        <v>0.4499999999999994</v>
      </c>
      <c r="O58" s="43"/>
      <c r="P58" s="88"/>
    </row>
    <row r="59" spans="1:19" x14ac:dyDescent="0.3">
      <c r="A59" s="74">
        <v>48</v>
      </c>
      <c r="B59" s="41">
        <f t="shared" si="30"/>
        <v>12</v>
      </c>
      <c r="C59" s="42">
        <f t="shared" si="26"/>
        <v>4.1666666666666666E-3</v>
      </c>
      <c r="D59" s="61">
        <f t="shared" si="7"/>
        <v>0.43333333333333274</v>
      </c>
      <c r="E59" s="61">
        <f t="shared" si="0"/>
        <v>0.44722222222222163</v>
      </c>
      <c r="F59" s="42">
        <v>6.2500000000000003E-3</v>
      </c>
      <c r="G59" s="62">
        <f t="shared" si="5"/>
        <v>0.45347222222222161</v>
      </c>
      <c r="I59" s="74">
        <f t="shared" si="8"/>
        <v>5</v>
      </c>
      <c r="J59" s="42">
        <f t="shared" si="2"/>
        <v>4.1666666666666666E-3</v>
      </c>
      <c r="K59" s="61">
        <f t="shared" si="3"/>
        <v>0.43680555555555495</v>
      </c>
      <c r="L59" s="61">
        <f t="shared" si="1"/>
        <v>0.45069444444444384</v>
      </c>
      <c r="M59" s="73">
        <v>3.472222222222222E-3</v>
      </c>
      <c r="N59" s="62">
        <f t="shared" si="4"/>
        <v>0.45416666666666605</v>
      </c>
      <c r="O59" s="43"/>
      <c r="P59" s="88"/>
    </row>
    <row r="60" spans="1:19" x14ac:dyDescent="0.3">
      <c r="A60" s="74">
        <v>49</v>
      </c>
      <c r="B60" s="41">
        <f t="shared" si="30"/>
        <v>1</v>
      </c>
      <c r="C60" s="42">
        <f t="shared" si="26"/>
        <v>4.1666666666666666E-3</v>
      </c>
      <c r="D60" s="61">
        <f t="shared" si="7"/>
        <v>0.43749999999999939</v>
      </c>
      <c r="E60" s="61">
        <f t="shared" si="0"/>
        <v>0.45138888888888828</v>
      </c>
      <c r="F60" s="42">
        <v>6.2500000000000003E-3</v>
      </c>
      <c r="G60" s="62">
        <f t="shared" si="5"/>
        <v>0.45763888888888826</v>
      </c>
      <c r="I60" s="74">
        <f t="shared" si="8"/>
        <v>6</v>
      </c>
      <c r="J60" s="42">
        <f t="shared" si="2"/>
        <v>4.1666666666666666E-3</v>
      </c>
      <c r="K60" s="61">
        <f t="shared" si="3"/>
        <v>0.4409722222222216</v>
      </c>
      <c r="L60" s="61">
        <f t="shared" si="1"/>
        <v>0.45486111111111049</v>
      </c>
      <c r="M60" s="73">
        <v>3.472222222222222E-3</v>
      </c>
      <c r="N60" s="62">
        <f t="shared" si="4"/>
        <v>0.4583333333333327</v>
      </c>
      <c r="O60" s="43"/>
      <c r="P60" s="88"/>
    </row>
    <row r="61" spans="1:19" x14ac:dyDescent="0.3">
      <c r="A61" s="74">
        <v>50</v>
      </c>
      <c r="B61" s="41">
        <f t="shared" si="30"/>
        <v>2</v>
      </c>
      <c r="C61" s="42">
        <f t="shared" si="26"/>
        <v>4.1666666666666666E-3</v>
      </c>
      <c r="D61" s="61">
        <f t="shared" si="7"/>
        <v>0.44166666666666604</v>
      </c>
      <c r="E61" s="61">
        <f t="shared" si="0"/>
        <v>0.45555555555555494</v>
      </c>
      <c r="F61" s="42">
        <v>6.2500000000000003E-3</v>
      </c>
      <c r="G61" s="62">
        <f t="shared" si="5"/>
        <v>0.46180555555555491</v>
      </c>
      <c r="I61" s="74">
        <f t="shared" si="8"/>
        <v>7</v>
      </c>
      <c r="J61" s="42">
        <f t="shared" si="2"/>
        <v>4.1666666666666666E-3</v>
      </c>
      <c r="K61" s="61">
        <f t="shared" si="3"/>
        <v>0.44513888888888825</v>
      </c>
      <c r="L61" s="61">
        <f t="shared" si="1"/>
        <v>0.45902777777777715</v>
      </c>
      <c r="M61" s="73">
        <v>3.472222222222222E-3</v>
      </c>
      <c r="N61" s="62">
        <f t="shared" si="4"/>
        <v>0.46249999999999936</v>
      </c>
      <c r="O61" s="43"/>
      <c r="P61" s="88"/>
    </row>
    <row r="62" spans="1:19" x14ac:dyDescent="0.3">
      <c r="A62" s="74">
        <v>51</v>
      </c>
      <c r="B62" s="41">
        <f t="shared" si="30"/>
        <v>3</v>
      </c>
      <c r="C62" s="42">
        <f t="shared" si="26"/>
        <v>4.1666666666666666E-3</v>
      </c>
      <c r="D62" s="61">
        <f t="shared" si="7"/>
        <v>0.44583333333333269</v>
      </c>
      <c r="E62" s="61">
        <f t="shared" si="0"/>
        <v>0.45972222222222159</v>
      </c>
      <c r="F62" s="42">
        <v>6.2500000000000003E-3</v>
      </c>
      <c r="G62" s="62">
        <f t="shared" si="5"/>
        <v>0.46597222222222157</v>
      </c>
      <c r="I62" s="74">
        <f t="shared" si="8"/>
        <v>8</v>
      </c>
      <c r="J62" s="42">
        <f t="shared" si="2"/>
        <v>4.1666666666666666E-3</v>
      </c>
      <c r="K62" s="61">
        <f>K61+J62</f>
        <v>0.4493055555555549</v>
      </c>
      <c r="L62" s="61">
        <f t="shared" si="1"/>
        <v>0.4631944444444438</v>
      </c>
      <c r="M62" s="73">
        <v>3.472222222222222E-3</v>
      </c>
      <c r="N62" s="62">
        <f t="shared" si="4"/>
        <v>0.46666666666666601</v>
      </c>
      <c r="O62" s="43"/>
      <c r="P62" s="88"/>
    </row>
    <row r="63" spans="1:19" x14ac:dyDescent="0.3">
      <c r="A63" s="74">
        <v>52</v>
      </c>
      <c r="B63" s="41">
        <f t="shared" si="30"/>
        <v>4</v>
      </c>
      <c r="C63" s="42">
        <f t="shared" si="26"/>
        <v>4.1666666666666666E-3</v>
      </c>
      <c r="D63" s="61">
        <f t="shared" si="7"/>
        <v>0.44999999999999934</v>
      </c>
      <c r="E63" s="61">
        <f t="shared" si="0"/>
        <v>0.46388888888888824</v>
      </c>
      <c r="F63" s="42">
        <v>6.2500000000000003E-3</v>
      </c>
      <c r="G63" s="62">
        <f t="shared" si="5"/>
        <v>0.47013888888888822</v>
      </c>
      <c r="I63" s="74">
        <f t="shared" si="8"/>
        <v>12</v>
      </c>
      <c r="J63" s="42">
        <f t="shared" si="2"/>
        <v>4.1666666666666666E-3</v>
      </c>
      <c r="K63" s="61">
        <f t="shared" si="3"/>
        <v>0.45347222222222155</v>
      </c>
      <c r="L63" s="61">
        <f t="shared" si="1"/>
        <v>0.46736111111111045</v>
      </c>
      <c r="M63" s="73">
        <v>3.472222222222222E-3</v>
      </c>
      <c r="N63" s="62">
        <f t="shared" si="4"/>
        <v>0.47083333333333266</v>
      </c>
      <c r="O63" s="43"/>
      <c r="P63" s="88"/>
    </row>
    <row r="64" spans="1:19" x14ac:dyDescent="0.3">
      <c r="A64" s="74">
        <v>53</v>
      </c>
      <c r="B64" s="41">
        <f t="shared" si="30"/>
        <v>5</v>
      </c>
      <c r="C64" s="42">
        <f t="shared" si="26"/>
        <v>4.1666666666666666E-3</v>
      </c>
      <c r="D64" s="61">
        <f t="shared" si="7"/>
        <v>0.454166666666666</v>
      </c>
      <c r="E64" s="61">
        <f t="shared" si="0"/>
        <v>0.46805555555555489</v>
      </c>
      <c r="F64" s="42">
        <v>6.2500000000000003E-3</v>
      </c>
      <c r="G64" s="62">
        <f t="shared" si="5"/>
        <v>0.47430555555555487</v>
      </c>
      <c r="I64" s="74">
        <f t="shared" si="8"/>
        <v>1</v>
      </c>
      <c r="J64" s="42">
        <f t="shared" si="2"/>
        <v>4.1666666666666666E-3</v>
      </c>
      <c r="K64" s="61">
        <f t="shared" si="3"/>
        <v>0.45763888888888821</v>
      </c>
      <c r="L64" s="61">
        <f t="shared" si="1"/>
        <v>0.4715277777777771</v>
      </c>
      <c r="M64" s="73">
        <v>3.472222222222222E-3</v>
      </c>
      <c r="N64" s="62">
        <f t="shared" si="4"/>
        <v>0.47499999999999931</v>
      </c>
      <c r="O64" s="43"/>
      <c r="P64" s="88"/>
    </row>
    <row r="65" spans="1:16" x14ac:dyDescent="0.3">
      <c r="A65" s="74">
        <v>54</v>
      </c>
      <c r="B65" s="41">
        <f t="shared" si="30"/>
        <v>6</v>
      </c>
      <c r="C65" s="42">
        <f t="shared" si="26"/>
        <v>4.1666666666666666E-3</v>
      </c>
      <c r="D65" s="61">
        <f t="shared" si="7"/>
        <v>0.45833333333333265</v>
      </c>
      <c r="E65" s="61">
        <f t="shared" si="0"/>
        <v>0.47222222222222154</v>
      </c>
      <c r="F65" s="42">
        <v>6.2500000000000003E-3</v>
      </c>
      <c r="G65" s="62">
        <f t="shared" si="5"/>
        <v>0.47847222222222152</v>
      </c>
      <c r="I65" s="74">
        <f t="shared" si="8"/>
        <v>2</v>
      </c>
      <c r="J65" s="42">
        <f t="shared" si="2"/>
        <v>4.1666666666666666E-3</v>
      </c>
      <c r="K65" s="61">
        <f t="shared" si="3"/>
        <v>0.46180555555555486</v>
      </c>
      <c r="L65" s="61">
        <f t="shared" si="1"/>
        <v>0.47569444444444375</v>
      </c>
      <c r="M65" s="73">
        <v>3.472222222222222E-3</v>
      </c>
      <c r="N65" s="62">
        <f t="shared" si="4"/>
        <v>0.47916666666666596</v>
      </c>
      <c r="O65" s="43"/>
      <c r="P65" s="88"/>
    </row>
    <row r="66" spans="1:16" x14ac:dyDescent="0.3">
      <c r="A66" s="74">
        <v>55</v>
      </c>
      <c r="B66" s="41">
        <f t="shared" si="30"/>
        <v>7</v>
      </c>
      <c r="C66" s="42">
        <f t="shared" si="26"/>
        <v>4.1666666666666666E-3</v>
      </c>
      <c r="D66" s="61">
        <f t="shared" si="7"/>
        <v>0.4624999999999993</v>
      </c>
      <c r="E66" s="61">
        <f t="shared" si="0"/>
        <v>0.4763888888888882</v>
      </c>
      <c r="F66" s="42">
        <v>6.2500000000000003E-3</v>
      </c>
      <c r="G66" s="62">
        <f t="shared" si="5"/>
        <v>0.48263888888888817</v>
      </c>
      <c r="I66" s="74">
        <f t="shared" si="8"/>
        <v>3</v>
      </c>
      <c r="J66" s="42">
        <f t="shared" si="2"/>
        <v>4.1666666666666666E-3</v>
      </c>
      <c r="K66" s="61">
        <f t="shared" si="3"/>
        <v>0.46597222222222151</v>
      </c>
      <c r="L66" s="61">
        <f t="shared" si="1"/>
        <v>0.47986111111111041</v>
      </c>
      <c r="M66" s="73">
        <v>3.472222222222222E-3</v>
      </c>
      <c r="N66" s="62">
        <f t="shared" si="4"/>
        <v>0.48333333333333262</v>
      </c>
      <c r="O66" s="43"/>
      <c r="P66" s="88"/>
    </row>
    <row r="67" spans="1:16" x14ac:dyDescent="0.3">
      <c r="A67" s="74">
        <v>56</v>
      </c>
      <c r="B67" s="41">
        <f t="shared" si="30"/>
        <v>8</v>
      </c>
      <c r="C67" s="42">
        <f t="shared" si="26"/>
        <v>4.1666666666666666E-3</v>
      </c>
      <c r="D67" s="61">
        <f t="shared" si="7"/>
        <v>0.46666666666666595</v>
      </c>
      <c r="E67" s="61">
        <f t="shared" si="0"/>
        <v>0.48055555555555485</v>
      </c>
      <c r="F67" s="42">
        <v>6.2500000000000003E-3</v>
      </c>
      <c r="G67" s="62">
        <f t="shared" si="5"/>
        <v>0.48680555555555483</v>
      </c>
      <c r="I67" s="74">
        <f t="shared" si="8"/>
        <v>4</v>
      </c>
      <c r="J67" s="42">
        <f t="shared" si="2"/>
        <v>4.1666666666666666E-3</v>
      </c>
      <c r="K67" s="61">
        <f t="shared" si="3"/>
        <v>0.47013888888888816</v>
      </c>
      <c r="L67" s="61">
        <f t="shared" si="1"/>
        <v>0.48402777777777706</v>
      </c>
      <c r="M67" s="73">
        <v>3.472222222222222E-3</v>
      </c>
      <c r="N67" s="62">
        <f t="shared" si="4"/>
        <v>0.48749999999999927</v>
      </c>
      <c r="O67" s="43"/>
      <c r="P67" s="88"/>
    </row>
    <row r="68" spans="1:16" x14ac:dyDescent="0.3">
      <c r="A68" s="74">
        <v>57</v>
      </c>
      <c r="B68" s="41">
        <f t="shared" si="30"/>
        <v>12</v>
      </c>
      <c r="C68" s="42">
        <f t="shared" si="26"/>
        <v>4.1666666666666666E-3</v>
      </c>
      <c r="D68" s="61">
        <f t="shared" si="7"/>
        <v>0.4708333333333326</v>
      </c>
      <c r="E68" s="61">
        <f t="shared" si="0"/>
        <v>0.4847222222222215</v>
      </c>
      <c r="F68" s="42">
        <v>6.2500000000000003E-3</v>
      </c>
      <c r="G68" s="62">
        <f t="shared" si="5"/>
        <v>0.49097222222222148</v>
      </c>
      <c r="I68" s="74">
        <f t="shared" si="8"/>
        <v>5</v>
      </c>
      <c r="J68" s="42">
        <f t="shared" si="2"/>
        <v>4.1666666666666666E-3</v>
      </c>
      <c r="K68" s="61">
        <f t="shared" si="3"/>
        <v>0.47430555555555481</v>
      </c>
      <c r="L68" s="61">
        <f t="shared" si="1"/>
        <v>0.48819444444444371</v>
      </c>
      <c r="M68" s="73">
        <v>3.472222222222222E-3</v>
      </c>
      <c r="N68" s="62">
        <f t="shared" si="4"/>
        <v>0.49166666666666592</v>
      </c>
      <c r="O68" s="43"/>
      <c r="P68" s="88"/>
    </row>
    <row r="69" spans="1:16" x14ac:dyDescent="0.3">
      <c r="A69" s="74">
        <v>58</v>
      </c>
      <c r="B69" s="41">
        <f t="shared" si="30"/>
        <v>1</v>
      </c>
      <c r="C69" s="42">
        <f t="shared" si="26"/>
        <v>4.1666666666666666E-3</v>
      </c>
      <c r="D69" s="61">
        <f t="shared" si="7"/>
        <v>0.47499999999999926</v>
      </c>
      <c r="E69" s="61">
        <f t="shared" si="0"/>
        <v>0.48888888888888815</v>
      </c>
      <c r="F69" s="42">
        <v>6.2500000000000003E-3</v>
      </c>
      <c r="G69" s="62">
        <f t="shared" si="5"/>
        <v>0.49513888888888813</v>
      </c>
      <c r="I69" s="74">
        <f t="shared" si="8"/>
        <v>6</v>
      </c>
      <c r="J69" s="42">
        <f t="shared" si="2"/>
        <v>4.1666666666666666E-3</v>
      </c>
      <c r="K69" s="61">
        <f t="shared" si="3"/>
        <v>0.47847222222222147</v>
      </c>
      <c r="L69" s="61">
        <f t="shared" si="1"/>
        <v>0.49236111111111036</v>
      </c>
      <c r="M69" s="73">
        <v>3.472222222222222E-3</v>
      </c>
      <c r="N69" s="62">
        <f t="shared" si="4"/>
        <v>0.49583333333333257</v>
      </c>
      <c r="O69" s="43"/>
      <c r="P69" s="88"/>
    </row>
    <row r="70" spans="1:16" x14ac:dyDescent="0.3">
      <c r="A70" s="74">
        <v>59</v>
      </c>
      <c r="B70" s="41">
        <f t="shared" si="30"/>
        <v>2</v>
      </c>
      <c r="C70" s="42">
        <f t="shared" si="26"/>
        <v>4.1666666666666666E-3</v>
      </c>
      <c r="D70" s="61">
        <f t="shared" si="7"/>
        <v>0.47916666666666591</v>
      </c>
      <c r="E70" s="61">
        <f t="shared" si="0"/>
        <v>0.4930555555555548</v>
      </c>
      <c r="F70" s="42">
        <v>6.2500000000000003E-3</v>
      </c>
      <c r="G70" s="62">
        <f t="shared" si="5"/>
        <v>0.49930555555555478</v>
      </c>
      <c r="I70" s="74">
        <f t="shared" si="8"/>
        <v>7</v>
      </c>
      <c r="J70" s="42">
        <f t="shared" si="2"/>
        <v>4.1666666666666666E-3</v>
      </c>
      <c r="K70" s="61">
        <f t="shared" si="3"/>
        <v>0.48263888888888812</v>
      </c>
      <c r="L70" s="61">
        <f t="shared" si="1"/>
        <v>0.49652777777777701</v>
      </c>
      <c r="M70" s="73">
        <v>3.472222222222222E-3</v>
      </c>
      <c r="N70" s="62">
        <f t="shared" si="4"/>
        <v>0.49999999999999922</v>
      </c>
      <c r="O70" s="43"/>
      <c r="P70" s="88"/>
    </row>
    <row r="71" spans="1:16" x14ac:dyDescent="0.3">
      <c r="A71" s="74">
        <v>60</v>
      </c>
      <c r="B71" s="41">
        <f t="shared" si="30"/>
        <v>3</v>
      </c>
      <c r="C71" s="42">
        <f t="shared" si="26"/>
        <v>4.1666666666666666E-3</v>
      </c>
      <c r="D71" s="61">
        <f t="shared" si="7"/>
        <v>0.48333333333333256</v>
      </c>
      <c r="E71" s="61">
        <f t="shared" si="0"/>
        <v>0.49722222222222145</v>
      </c>
      <c r="F71" s="42">
        <v>6.2500000000000003E-3</v>
      </c>
      <c r="G71" s="62">
        <f t="shared" si="5"/>
        <v>0.50347222222222143</v>
      </c>
      <c r="I71" s="74">
        <f t="shared" si="8"/>
        <v>8</v>
      </c>
      <c r="J71" s="42">
        <f t="shared" si="2"/>
        <v>4.1666666666666666E-3</v>
      </c>
      <c r="K71" s="61">
        <f t="shared" si="3"/>
        <v>0.48680555555555477</v>
      </c>
      <c r="L71" s="61">
        <f t="shared" si="1"/>
        <v>0.50069444444444366</v>
      </c>
      <c r="M71" s="73">
        <v>6.2500000000000003E-3</v>
      </c>
      <c r="N71" s="62">
        <f t="shared" si="4"/>
        <v>0.50694444444444364</v>
      </c>
      <c r="O71" s="43"/>
      <c r="P71" s="88"/>
    </row>
    <row r="72" spans="1:16" x14ac:dyDescent="0.3">
      <c r="A72" s="74">
        <v>61</v>
      </c>
      <c r="B72" s="41">
        <f t="shared" si="30"/>
        <v>4</v>
      </c>
      <c r="C72" s="42">
        <f t="shared" si="26"/>
        <v>4.1666666666666666E-3</v>
      </c>
      <c r="D72" s="61">
        <f t="shared" si="7"/>
        <v>0.48749999999999921</v>
      </c>
      <c r="E72" s="61">
        <f t="shared" si="0"/>
        <v>0.50138888888888811</v>
      </c>
      <c r="F72" s="42">
        <v>5.5555555555555558E-3</v>
      </c>
      <c r="G72" s="62">
        <f t="shared" si="5"/>
        <v>0.50694444444444364</v>
      </c>
      <c r="I72" s="74">
        <f t="shared" si="8"/>
        <v>12</v>
      </c>
      <c r="J72" s="42">
        <f t="shared" si="2"/>
        <v>4.1666666666666666E-3</v>
      </c>
      <c r="K72" s="61">
        <f t="shared" si="3"/>
        <v>0.49097222222222142</v>
      </c>
      <c r="L72" s="61">
        <f t="shared" si="1"/>
        <v>0.50486111111111032</v>
      </c>
      <c r="M72" s="73">
        <v>5.5555555555555558E-3</v>
      </c>
      <c r="N72" s="62">
        <f t="shared" si="4"/>
        <v>0.51041666666666585</v>
      </c>
      <c r="O72" s="43"/>
      <c r="P72" s="88"/>
    </row>
    <row r="73" spans="1:16" x14ac:dyDescent="0.3">
      <c r="A73" s="74">
        <v>62</v>
      </c>
      <c r="B73" s="41">
        <f t="shared" si="30"/>
        <v>5</v>
      </c>
      <c r="C73" s="42">
        <f t="shared" si="26"/>
        <v>4.1666666666666666E-3</v>
      </c>
      <c r="D73" s="61">
        <f t="shared" si="7"/>
        <v>0.49166666666666586</v>
      </c>
      <c r="E73" s="61">
        <f t="shared" si="0"/>
        <v>0.50555555555555476</v>
      </c>
      <c r="F73" s="42">
        <v>4.8611111111111103E-3</v>
      </c>
      <c r="G73" s="62">
        <f t="shared" si="5"/>
        <v>0.51041666666666585</v>
      </c>
      <c r="I73" s="74">
        <f t="shared" si="8"/>
        <v>1</v>
      </c>
      <c r="J73" s="42">
        <f t="shared" si="2"/>
        <v>4.1666666666666666E-3</v>
      </c>
      <c r="K73" s="61">
        <f t="shared" si="3"/>
        <v>0.49513888888888807</v>
      </c>
      <c r="L73" s="61">
        <f t="shared" si="1"/>
        <v>0.50902777777777697</v>
      </c>
      <c r="M73" s="73">
        <v>4.8611111111111103E-3</v>
      </c>
      <c r="N73" s="62">
        <f t="shared" si="4"/>
        <v>0.51388888888888806</v>
      </c>
      <c r="O73" s="43"/>
      <c r="P73" s="88"/>
    </row>
    <row r="74" spans="1:16" x14ac:dyDescent="0.3">
      <c r="A74" s="74">
        <v>63</v>
      </c>
      <c r="B74" s="41">
        <f t="shared" si="30"/>
        <v>6</v>
      </c>
      <c r="C74" s="42">
        <f t="shared" si="26"/>
        <v>4.1666666666666666E-3</v>
      </c>
      <c r="D74" s="61">
        <f t="shared" si="7"/>
        <v>0.49583333333333252</v>
      </c>
      <c r="E74" s="61">
        <f t="shared" si="0"/>
        <v>0.50972222222222141</v>
      </c>
      <c r="F74" s="42">
        <v>4.1666666666666701E-3</v>
      </c>
      <c r="G74" s="62">
        <f t="shared" si="5"/>
        <v>0.51388888888888806</v>
      </c>
      <c r="I74" s="74">
        <f t="shared" si="8"/>
        <v>2</v>
      </c>
      <c r="J74" s="42">
        <f t="shared" si="2"/>
        <v>4.1666666666666666E-3</v>
      </c>
      <c r="K74" s="61">
        <f t="shared" si="3"/>
        <v>0.49930555555555473</v>
      </c>
      <c r="L74" s="61">
        <f t="shared" si="1"/>
        <v>0.51319444444444362</v>
      </c>
      <c r="M74" s="73">
        <v>4.1666666666666701E-3</v>
      </c>
      <c r="N74" s="62">
        <f t="shared" si="4"/>
        <v>0.51736111111111027</v>
      </c>
      <c r="O74" s="43"/>
      <c r="P74" s="88"/>
    </row>
    <row r="75" spans="1:16" ht="15" thickBot="1" x14ac:dyDescent="0.35">
      <c r="A75" s="75">
        <v>64</v>
      </c>
      <c r="B75" s="76">
        <f t="shared" si="30"/>
        <v>7</v>
      </c>
      <c r="C75" s="57">
        <f t="shared" si="26"/>
        <v>4.1666666666666666E-3</v>
      </c>
      <c r="D75" s="58">
        <f t="shared" si="7"/>
        <v>0.49999999999999917</v>
      </c>
      <c r="E75" s="58">
        <f t="shared" si="0"/>
        <v>0.51388888888888806</v>
      </c>
      <c r="F75" s="57">
        <v>3.4722222222222199E-3</v>
      </c>
      <c r="G75" s="59">
        <f t="shared" si="5"/>
        <v>0.51736111111111027</v>
      </c>
      <c r="I75" s="82">
        <f t="shared" si="8"/>
        <v>3</v>
      </c>
      <c r="J75" s="48">
        <f t="shared" si="2"/>
        <v>4.1666666666666666E-3</v>
      </c>
      <c r="K75" s="63">
        <f t="shared" si="3"/>
        <v>0.50347222222222143</v>
      </c>
      <c r="L75" s="63">
        <f t="shared" si="1"/>
        <v>0.51736111111111027</v>
      </c>
      <c r="M75" s="123">
        <v>3.4722222222222199E-3</v>
      </c>
      <c r="N75" s="64">
        <f t="shared" si="4"/>
        <v>0.52083333333333248</v>
      </c>
      <c r="O75" s="43"/>
      <c r="P75" s="88"/>
    </row>
    <row r="76" spans="1:16" x14ac:dyDescent="0.3">
      <c r="A76" s="71">
        <v>65</v>
      </c>
      <c r="B76" s="121">
        <v>10</v>
      </c>
      <c r="C76" s="54">
        <f t="shared" ref="C76:C99" si="31">C$5</f>
        <v>3.472222222222222E-3</v>
      </c>
      <c r="D76" s="55">
        <f t="shared" si="7"/>
        <v>0.50347222222222143</v>
      </c>
      <c r="E76" s="55">
        <f t="shared" ref="E76:E108" si="32">D76+$C$8</f>
        <v>0.51736111111111027</v>
      </c>
      <c r="F76" s="54">
        <v>3.4722222222220902E-3</v>
      </c>
      <c r="G76" s="56">
        <f t="shared" si="5"/>
        <v>0.52083333333333237</v>
      </c>
      <c r="I76" s="71">
        <f t="shared" si="8"/>
        <v>4</v>
      </c>
      <c r="J76" s="54">
        <f t="shared" si="2"/>
        <v>3.472222222222222E-3</v>
      </c>
      <c r="K76" s="55">
        <f t="shared" si="3"/>
        <v>0.50694444444444364</v>
      </c>
      <c r="L76" s="55">
        <f t="shared" ref="L76:L80" si="33">K76+$J$6</f>
        <v>0.52083333333333248</v>
      </c>
      <c r="M76" s="54">
        <v>6.9444444444444441E-3</v>
      </c>
      <c r="N76" s="56">
        <f t="shared" si="4"/>
        <v>0.5277777777777769</v>
      </c>
      <c r="O76" s="43"/>
      <c r="P76" s="88"/>
    </row>
    <row r="77" spans="1:16" x14ac:dyDescent="0.3">
      <c r="A77" s="74">
        <v>66</v>
      </c>
      <c r="B77" s="41">
        <f>I71</f>
        <v>8</v>
      </c>
      <c r="C77" s="42">
        <f t="shared" si="31"/>
        <v>3.472222222222222E-3</v>
      </c>
      <c r="D77" s="61">
        <f t="shared" si="7"/>
        <v>0.50694444444444364</v>
      </c>
      <c r="E77" s="61">
        <f t="shared" si="32"/>
        <v>0.52083333333333248</v>
      </c>
      <c r="F77" s="42">
        <v>3.4722222222220902E-3</v>
      </c>
      <c r="G77" s="62">
        <f t="shared" si="5"/>
        <v>0.52430555555555458</v>
      </c>
      <c r="I77" s="74">
        <f t="shared" si="8"/>
        <v>5</v>
      </c>
      <c r="J77" s="42">
        <f t="shared" si="2"/>
        <v>3.472222222222222E-3</v>
      </c>
      <c r="K77" s="61">
        <f t="shared" si="3"/>
        <v>0.51041666666666585</v>
      </c>
      <c r="L77" s="61">
        <f t="shared" si="33"/>
        <v>0.52430555555555469</v>
      </c>
      <c r="M77" s="42">
        <v>6.9444444444444441E-3</v>
      </c>
      <c r="N77" s="60">
        <f t="shared" si="4"/>
        <v>0.53124999999999911</v>
      </c>
      <c r="O77" s="43"/>
      <c r="P77" s="88"/>
    </row>
    <row r="78" spans="1:16" x14ac:dyDescent="0.3">
      <c r="A78" s="74">
        <v>67</v>
      </c>
      <c r="B78" s="122">
        <f t="shared" ref="B78:B81" si="34">I72</f>
        <v>12</v>
      </c>
      <c r="C78" s="42">
        <f t="shared" si="31"/>
        <v>3.472222222222222E-3</v>
      </c>
      <c r="D78" s="61">
        <f t="shared" si="7"/>
        <v>0.51041666666666585</v>
      </c>
      <c r="E78" s="61">
        <f t="shared" si="32"/>
        <v>0.52430555555555469</v>
      </c>
      <c r="F78" s="42">
        <v>3.4722222222220902E-3</v>
      </c>
      <c r="G78" s="62">
        <f t="shared" si="5"/>
        <v>0.52777777777777679</v>
      </c>
      <c r="I78" s="74">
        <f t="shared" si="8"/>
        <v>6</v>
      </c>
      <c r="J78" s="42">
        <f t="shared" ref="J78:J141" si="35">C78</f>
        <v>3.472222222222222E-3</v>
      </c>
      <c r="K78" s="61">
        <f t="shared" ref="K78:K80" si="36">K77+J78</f>
        <v>0.51388888888888806</v>
      </c>
      <c r="L78" s="61">
        <f t="shared" si="33"/>
        <v>0.5277777777777769</v>
      </c>
      <c r="M78" s="42">
        <v>6.9444444444444441E-3</v>
      </c>
      <c r="N78" s="62">
        <f t="shared" ref="N78:N80" si="37">L78+M78</f>
        <v>0.53472222222222132</v>
      </c>
      <c r="O78" s="43"/>
      <c r="P78" s="88"/>
    </row>
    <row r="79" spans="1:16" x14ac:dyDescent="0.3">
      <c r="A79" s="74">
        <v>68</v>
      </c>
      <c r="B79" s="41">
        <f t="shared" si="34"/>
        <v>1</v>
      </c>
      <c r="C79" s="42">
        <f t="shared" si="31"/>
        <v>3.472222222222222E-3</v>
      </c>
      <c r="D79" s="61">
        <f t="shared" si="7"/>
        <v>0.51388888888888806</v>
      </c>
      <c r="E79" s="61">
        <f t="shared" si="32"/>
        <v>0.5277777777777769</v>
      </c>
      <c r="F79" s="42">
        <v>3.4722222222220902E-3</v>
      </c>
      <c r="G79" s="62">
        <f t="shared" ref="G79:G108" si="38">E79+F79</f>
        <v>0.531249999999999</v>
      </c>
      <c r="I79" s="74">
        <f t="shared" si="8"/>
        <v>7</v>
      </c>
      <c r="J79" s="42">
        <f t="shared" si="35"/>
        <v>3.472222222222222E-3</v>
      </c>
      <c r="K79" s="61">
        <f t="shared" si="36"/>
        <v>0.51736111111111027</v>
      </c>
      <c r="L79" s="61">
        <f t="shared" si="33"/>
        <v>0.53124999999999911</v>
      </c>
      <c r="M79" s="42">
        <v>6.9444444444444441E-3</v>
      </c>
      <c r="N79" s="62">
        <f t="shared" si="37"/>
        <v>0.53819444444444353</v>
      </c>
      <c r="O79" s="43"/>
      <c r="P79" s="88"/>
    </row>
    <row r="80" spans="1:16" ht="15.75" customHeight="1" x14ac:dyDescent="0.3">
      <c r="A80" s="74">
        <v>69</v>
      </c>
      <c r="B80" s="41">
        <f t="shared" si="34"/>
        <v>2</v>
      </c>
      <c r="C80" s="42">
        <f t="shared" si="31"/>
        <v>3.472222222222222E-3</v>
      </c>
      <c r="D80" s="61">
        <f t="shared" ref="D80:D108" si="39">D79+C80</f>
        <v>0.51736111111111027</v>
      </c>
      <c r="E80" s="61">
        <f t="shared" si="32"/>
        <v>0.53124999999999911</v>
      </c>
      <c r="F80" s="42">
        <v>3.4722222222220902E-3</v>
      </c>
      <c r="G80" s="62">
        <f t="shared" si="38"/>
        <v>0.53472222222222121</v>
      </c>
      <c r="I80" s="74">
        <f t="shared" si="8"/>
        <v>10</v>
      </c>
      <c r="J80" s="42">
        <f t="shared" si="35"/>
        <v>3.472222222222222E-3</v>
      </c>
      <c r="K80" s="61">
        <f t="shared" si="36"/>
        <v>0.52083333333333248</v>
      </c>
      <c r="L80" s="61">
        <f t="shared" si="33"/>
        <v>0.53472222222222132</v>
      </c>
      <c r="M80" s="42">
        <v>6.9444444444444441E-3</v>
      </c>
      <c r="N80" s="62">
        <f t="shared" si="37"/>
        <v>0.54166666666666574</v>
      </c>
      <c r="O80" s="43"/>
      <c r="P80" s="88"/>
    </row>
    <row r="81" spans="1:16" x14ac:dyDescent="0.3">
      <c r="A81" s="74">
        <v>70</v>
      </c>
      <c r="B81" s="41">
        <f t="shared" si="34"/>
        <v>3</v>
      </c>
      <c r="C81" s="42">
        <f t="shared" si="31"/>
        <v>3.472222222222222E-3</v>
      </c>
      <c r="D81" s="61">
        <f t="shared" si="39"/>
        <v>0.52083333333333248</v>
      </c>
      <c r="E81" s="61">
        <f t="shared" si="32"/>
        <v>0.53472222222222132</v>
      </c>
      <c r="F81" s="42">
        <v>3.4722222222220902E-3</v>
      </c>
      <c r="G81" s="62">
        <f t="shared" si="38"/>
        <v>0.53819444444444342</v>
      </c>
      <c r="I81" s="74">
        <f t="shared" ref="I81:I144" si="40">B77</f>
        <v>8</v>
      </c>
      <c r="J81" s="42">
        <f t="shared" si="35"/>
        <v>3.472222222222222E-3</v>
      </c>
      <c r="K81" s="61">
        <f t="shared" ref="K81:K112" si="41">K80+J81</f>
        <v>0.52430555555555469</v>
      </c>
      <c r="L81" s="61">
        <f t="shared" ref="L81:L112" si="42">K81+$J$6</f>
        <v>0.53819444444444353</v>
      </c>
      <c r="M81" s="42">
        <v>6.9444444444444441E-3</v>
      </c>
      <c r="N81" s="62">
        <f t="shared" ref="N81:N110" si="43">L81+M81</f>
        <v>0.54513888888888795</v>
      </c>
      <c r="O81" s="43"/>
      <c r="P81" s="88"/>
    </row>
    <row r="82" spans="1:16" x14ac:dyDescent="0.3">
      <c r="A82" s="74">
        <v>71</v>
      </c>
      <c r="B82" s="94">
        <v>11</v>
      </c>
      <c r="C82" s="42">
        <f t="shared" si="31"/>
        <v>3.472222222222222E-3</v>
      </c>
      <c r="D82" s="61">
        <f t="shared" si="39"/>
        <v>0.52430555555555469</v>
      </c>
      <c r="E82" s="61">
        <f t="shared" si="32"/>
        <v>0.53819444444444353</v>
      </c>
      <c r="F82" s="42">
        <v>3.4722222222220902E-3</v>
      </c>
      <c r="G82" s="62">
        <f t="shared" si="38"/>
        <v>0.54166666666666563</v>
      </c>
      <c r="I82" s="74">
        <f t="shared" si="40"/>
        <v>12</v>
      </c>
      <c r="J82" s="42">
        <f t="shared" si="35"/>
        <v>3.472222222222222E-3</v>
      </c>
      <c r="K82" s="61">
        <f t="shared" si="41"/>
        <v>0.5277777777777769</v>
      </c>
      <c r="L82" s="61">
        <f t="shared" si="42"/>
        <v>0.54166666666666574</v>
      </c>
      <c r="M82" s="42">
        <v>6.9444444444444441E-3</v>
      </c>
      <c r="N82" s="62">
        <f t="shared" si="43"/>
        <v>0.54861111111111016</v>
      </c>
      <c r="O82" s="43"/>
      <c r="P82" s="88"/>
    </row>
    <row r="83" spans="1:16" x14ac:dyDescent="0.3">
      <c r="A83" s="74">
        <v>72</v>
      </c>
      <c r="B83" s="41">
        <f>I76</f>
        <v>4</v>
      </c>
      <c r="C83" s="42">
        <f t="shared" si="31"/>
        <v>3.472222222222222E-3</v>
      </c>
      <c r="D83" s="61">
        <f t="shared" si="39"/>
        <v>0.5277777777777769</v>
      </c>
      <c r="E83" s="61">
        <f t="shared" si="32"/>
        <v>0.54166666666666574</v>
      </c>
      <c r="F83" s="42">
        <v>3.4722222222220902E-3</v>
      </c>
      <c r="G83" s="62">
        <f t="shared" si="38"/>
        <v>0.54513888888888784</v>
      </c>
      <c r="I83" s="74">
        <f t="shared" si="40"/>
        <v>1</v>
      </c>
      <c r="J83" s="42">
        <f t="shared" si="35"/>
        <v>3.472222222222222E-3</v>
      </c>
      <c r="K83" s="61">
        <f t="shared" si="41"/>
        <v>0.53124999999999911</v>
      </c>
      <c r="L83" s="61">
        <f t="shared" si="42"/>
        <v>0.54513888888888795</v>
      </c>
      <c r="M83" s="42">
        <v>6.9444444444444441E-3</v>
      </c>
      <c r="N83" s="62">
        <f t="shared" si="43"/>
        <v>0.55208333333333237</v>
      </c>
      <c r="O83" s="43"/>
      <c r="P83" s="88"/>
    </row>
    <row r="84" spans="1:16" x14ac:dyDescent="0.3">
      <c r="A84" s="74">
        <v>73</v>
      </c>
      <c r="B84" s="41">
        <f t="shared" ref="B84:B105" si="44">I77</f>
        <v>5</v>
      </c>
      <c r="C84" s="42">
        <f t="shared" si="31"/>
        <v>3.472222222222222E-3</v>
      </c>
      <c r="D84" s="61">
        <f t="shared" si="39"/>
        <v>0.53124999999999911</v>
      </c>
      <c r="E84" s="61">
        <f t="shared" si="32"/>
        <v>0.54513888888888795</v>
      </c>
      <c r="F84" s="42">
        <v>3.4722222222220902E-3</v>
      </c>
      <c r="G84" s="62">
        <f t="shared" si="38"/>
        <v>0.54861111111111005</v>
      </c>
      <c r="I84" s="74">
        <f t="shared" si="40"/>
        <v>2</v>
      </c>
      <c r="J84" s="42">
        <f t="shared" si="35"/>
        <v>3.472222222222222E-3</v>
      </c>
      <c r="K84" s="61">
        <f t="shared" si="41"/>
        <v>0.53472222222222132</v>
      </c>
      <c r="L84" s="61">
        <f t="shared" si="42"/>
        <v>0.54861111111111016</v>
      </c>
      <c r="M84" s="42">
        <v>6.9444444444444441E-3</v>
      </c>
      <c r="N84" s="62">
        <f t="shared" si="43"/>
        <v>0.55555555555555458</v>
      </c>
      <c r="O84" s="43"/>
      <c r="P84" s="88"/>
    </row>
    <row r="85" spans="1:16" x14ac:dyDescent="0.3">
      <c r="A85" s="74">
        <v>74</v>
      </c>
      <c r="B85" s="41">
        <f t="shared" si="44"/>
        <v>6</v>
      </c>
      <c r="C85" s="42">
        <f t="shared" si="31"/>
        <v>3.472222222222222E-3</v>
      </c>
      <c r="D85" s="61">
        <f t="shared" si="39"/>
        <v>0.53472222222222132</v>
      </c>
      <c r="E85" s="61">
        <f t="shared" si="32"/>
        <v>0.54861111111111016</v>
      </c>
      <c r="F85" s="42">
        <v>3.4722222222220902E-3</v>
      </c>
      <c r="G85" s="62">
        <f t="shared" si="38"/>
        <v>0.55208333333333226</v>
      </c>
      <c r="I85" s="74">
        <f t="shared" si="40"/>
        <v>3</v>
      </c>
      <c r="J85" s="42">
        <f t="shared" si="35"/>
        <v>3.472222222222222E-3</v>
      </c>
      <c r="K85" s="61">
        <f t="shared" si="41"/>
        <v>0.53819444444444353</v>
      </c>
      <c r="L85" s="61">
        <f t="shared" si="42"/>
        <v>0.55208333333333237</v>
      </c>
      <c r="M85" s="42">
        <v>6.9444444444444441E-3</v>
      </c>
      <c r="N85" s="62">
        <f t="shared" si="43"/>
        <v>0.55902777777777679</v>
      </c>
      <c r="O85" s="43"/>
      <c r="P85" s="88"/>
    </row>
    <row r="86" spans="1:16" x14ac:dyDescent="0.3">
      <c r="A86" s="74">
        <v>75</v>
      </c>
      <c r="B86" s="41">
        <f t="shared" si="44"/>
        <v>7</v>
      </c>
      <c r="C86" s="42">
        <f t="shared" si="31"/>
        <v>3.472222222222222E-3</v>
      </c>
      <c r="D86" s="61">
        <f t="shared" si="39"/>
        <v>0.53819444444444353</v>
      </c>
      <c r="E86" s="61">
        <f t="shared" si="32"/>
        <v>0.55208333333333237</v>
      </c>
      <c r="F86" s="42">
        <v>3.4722222222220902E-3</v>
      </c>
      <c r="G86" s="62">
        <f t="shared" si="38"/>
        <v>0.55555555555555447</v>
      </c>
      <c r="I86" s="74">
        <f t="shared" si="40"/>
        <v>11</v>
      </c>
      <c r="J86" s="42">
        <f t="shared" si="35"/>
        <v>3.472222222222222E-3</v>
      </c>
      <c r="K86" s="61">
        <f t="shared" si="41"/>
        <v>0.54166666666666574</v>
      </c>
      <c r="L86" s="61">
        <f t="shared" si="42"/>
        <v>0.55555555555555458</v>
      </c>
      <c r="M86" s="42">
        <v>6.9444444444444441E-3</v>
      </c>
      <c r="N86" s="62">
        <f t="shared" ref="N86" si="45">L86+M86</f>
        <v>0.562499999999999</v>
      </c>
      <c r="O86" s="43"/>
      <c r="P86" s="88"/>
    </row>
    <row r="87" spans="1:16" x14ac:dyDescent="0.3">
      <c r="A87" s="74">
        <v>76</v>
      </c>
      <c r="B87" s="41">
        <f t="shared" si="44"/>
        <v>10</v>
      </c>
      <c r="C87" s="42">
        <f t="shared" si="31"/>
        <v>3.472222222222222E-3</v>
      </c>
      <c r="D87" s="61">
        <f t="shared" si="39"/>
        <v>0.54166666666666574</v>
      </c>
      <c r="E87" s="61">
        <f t="shared" si="32"/>
        <v>0.55555555555555458</v>
      </c>
      <c r="F87" s="42">
        <v>3.4722222222220902E-3</v>
      </c>
      <c r="G87" s="62">
        <f t="shared" si="38"/>
        <v>0.55902777777777668</v>
      </c>
      <c r="I87" s="74">
        <f t="shared" si="40"/>
        <v>4</v>
      </c>
      <c r="J87" s="42">
        <f t="shared" si="35"/>
        <v>3.472222222222222E-3</v>
      </c>
      <c r="K87" s="61">
        <f t="shared" si="41"/>
        <v>0.54513888888888795</v>
      </c>
      <c r="L87" s="61">
        <f t="shared" si="42"/>
        <v>0.55902777777777679</v>
      </c>
      <c r="M87" s="42">
        <v>6.9444444444444441E-3</v>
      </c>
      <c r="N87" s="62">
        <f t="shared" si="43"/>
        <v>0.56597222222222121</v>
      </c>
      <c r="O87" s="43"/>
      <c r="P87" s="88"/>
    </row>
    <row r="88" spans="1:16" x14ac:dyDescent="0.3">
      <c r="A88" s="74">
        <v>77</v>
      </c>
      <c r="B88" s="41">
        <f t="shared" si="44"/>
        <v>8</v>
      </c>
      <c r="C88" s="42">
        <f t="shared" si="31"/>
        <v>3.472222222222222E-3</v>
      </c>
      <c r="D88" s="61">
        <f t="shared" si="39"/>
        <v>0.54513888888888795</v>
      </c>
      <c r="E88" s="61">
        <f t="shared" si="32"/>
        <v>0.55902777777777679</v>
      </c>
      <c r="F88" s="42">
        <v>3.4722222222220902E-3</v>
      </c>
      <c r="G88" s="62">
        <f t="shared" si="38"/>
        <v>0.56249999999999889</v>
      </c>
      <c r="I88" s="74">
        <f t="shared" si="40"/>
        <v>5</v>
      </c>
      <c r="J88" s="42">
        <f t="shared" si="35"/>
        <v>3.472222222222222E-3</v>
      </c>
      <c r="K88" s="61">
        <f t="shared" si="41"/>
        <v>0.54861111111111016</v>
      </c>
      <c r="L88" s="61">
        <f t="shared" si="42"/>
        <v>0.562499999999999</v>
      </c>
      <c r="M88" s="42">
        <v>6.9444444444444441E-3</v>
      </c>
      <c r="N88" s="62">
        <f t="shared" si="43"/>
        <v>0.56944444444444342</v>
      </c>
      <c r="O88" s="43"/>
      <c r="P88" s="88"/>
    </row>
    <row r="89" spans="1:16" x14ac:dyDescent="0.3">
      <c r="A89" s="74">
        <v>78</v>
      </c>
      <c r="B89" s="41">
        <f t="shared" si="44"/>
        <v>12</v>
      </c>
      <c r="C89" s="42">
        <f t="shared" si="31"/>
        <v>3.472222222222222E-3</v>
      </c>
      <c r="D89" s="61">
        <f t="shared" si="39"/>
        <v>0.54861111111111016</v>
      </c>
      <c r="E89" s="61">
        <f t="shared" si="32"/>
        <v>0.562499999999999</v>
      </c>
      <c r="F89" s="42">
        <v>3.4722222222220902E-3</v>
      </c>
      <c r="G89" s="62">
        <f t="shared" si="38"/>
        <v>0.5659722222222211</v>
      </c>
      <c r="I89" s="74">
        <f t="shared" si="40"/>
        <v>6</v>
      </c>
      <c r="J89" s="42">
        <f t="shared" si="35"/>
        <v>3.472222222222222E-3</v>
      </c>
      <c r="K89" s="61">
        <f t="shared" si="41"/>
        <v>0.55208333333333237</v>
      </c>
      <c r="L89" s="61">
        <f t="shared" si="42"/>
        <v>0.56597222222222121</v>
      </c>
      <c r="M89" s="42">
        <v>6.9444444444444441E-3</v>
      </c>
      <c r="N89" s="62">
        <f t="shared" si="43"/>
        <v>0.57291666666666563</v>
      </c>
      <c r="O89" s="43"/>
      <c r="P89" s="88"/>
    </row>
    <row r="90" spans="1:16" x14ac:dyDescent="0.3">
      <c r="A90" s="74">
        <v>79</v>
      </c>
      <c r="B90" s="41">
        <f t="shared" si="44"/>
        <v>1</v>
      </c>
      <c r="C90" s="42">
        <f t="shared" si="31"/>
        <v>3.472222222222222E-3</v>
      </c>
      <c r="D90" s="61">
        <f t="shared" si="39"/>
        <v>0.55208333333333237</v>
      </c>
      <c r="E90" s="61">
        <f t="shared" si="32"/>
        <v>0.56597222222222121</v>
      </c>
      <c r="F90" s="42">
        <v>3.4722222222220902E-3</v>
      </c>
      <c r="G90" s="62">
        <f t="shared" si="38"/>
        <v>0.56944444444444331</v>
      </c>
      <c r="I90" s="74">
        <f t="shared" si="40"/>
        <v>7</v>
      </c>
      <c r="J90" s="42">
        <f t="shared" si="35"/>
        <v>3.472222222222222E-3</v>
      </c>
      <c r="K90" s="61">
        <f t="shared" si="41"/>
        <v>0.55555555555555458</v>
      </c>
      <c r="L90" s="61">
        <f t="shared" si="42"/>
        <v>0.56944444444444342</v>
      </c>
      <c r="M90" s="42">
        <v>6.9444444444444441E-3</v>
      </c>
      <c r="N90" s="62">
        <f t="shared" si="43"/>
        <v>0.57638888888888784</v>
      </c>
      <c r="O90" s="43"/>
      <c r="P90" s="88"/>
    </row>
    <row r="91" spans="1:16" x14ac:dyDescent="0.3">
      <c r="A91" s="74">
        <v>80</v>
      </c>
      <c r="B91" s="41">
        <f t="shared" si="44"/>
        <v>2</v>
      </c>
      <c r="C91" s="42">
        <f t="shared" si="31"/>
        <v>3.472222222222222E-3</v>
      </c>
      <c r="D91" s="61">
        <f t="shared" si="39"/>
        <v>0.55555555555555458</v>
      </c>
      <c r="E91" s="61">
        <f t="shared" si="32"/>
        <v>0.56944444444444342</v>
      </c>
      <c r="F91" s="42">
        <v>3.4722222222220902E-3</v>
      </c>
      <c r="G91" s="62">
        <f t="shared" si="38"/>
        <v>0.57291666666666552</v>
      </c>
      <c r="I91" s="74">
        <f t="shared" si="40"/>
        <v>10</v>
      </c>
      <c r="J91" s="42">
        <f t="shared" si="35"/>
        <v>3.472222222222222E-3</v>
      </c>
      <c r="K91" s="61">
        <f t="shared" si="41"/>
        <v>0.55902777777777679</v>
      </c>
      <c r="L91" s="61">
        <f t="shared" si="42"/>
        <v>0.57291666666666563</v>
      </c>
      <c r="M91" s="42">
        <v>6.9444444444444441E-3</v>
      </c>
      <c r="N91" s="62">
        <f t="shared" si="43"/>
        <v>0.57986111111111005</v>
      </c>
      <c r="O91" s="43"/>
      <c r="P91" s="88"/>
    </row>
    <row r="92" spans="1:16" x14ac:dyDescent="0.3">
      <c r="A92" s="74">
        <v>81</v>
      </c>
      <c r="B92" s="41">
        <f t="shared" si="44"/>
        <v>3</v>
      </c>
      <c r="C92" s="42">
        <f t="shared" si="31"/>
        <v>3.472222222222222E-3</v>
      </c>
      <c r="D92" s="61">
        <f t="shared" si="39"/>
        <v>0.55902777777777679</v>
      </c>
      <c r="E92" s="61">
        <f t="shared" si="32"/>
        <v>0.57291666666666563</v>
      </c>
      <c r="F92" s="42">
        <v>3.4722222222220902E-3</v>
      </c>
      <c r="G92" s="62">
        <f t="shared" si="38"/>
        <v>0.57638888888888773</v>
      </c>
      <c r="I92" s="74">
        <f t="shared" si="40"/>
        <v>8</v>
      </c>
      <c r="J92" s="42">
        <f t="shared" si="35"/>
        <v>3.472222222222222E-3</v>
      </c>
      <c r="K92" s="61">
        <f t="shared" si="41"/>
        <v>0.562499999999999</v>
      </c>
      <c r="L92" s="61">
        <f t="shared" si="42"/>
        <v>0.57638888888888784</v>
      </c>
      <c r="M92" s="42">
        <v>6.9444444444444441E-3</v>
      </c>
      <c r="N92" s="62">
        <f t="shared" si="43"/>
        <v>0.58333333333333226</v>
      </c>
      <c r="O92" s="43"/>
      <c r="P92" s="88"/>
    </row>
    <row r="93" spans="1:16" x14ac:dyDescent="0.3">
      <c r="A93" s="74">
        <v>82</v>
      </c>
      <c r="B93" s="41">
        <f t="shared" si="44"/>
        <v>11</v>
      </c>
      <c r="C93" s="42">
        <f t="shared" si="31"/>
        <v>3.472222222222222E-3</v>
      </c>
      <c r="D93" s="61">
        <f t="shared" si="39"/>
        <v>0.562499999999999</v>
      </c>
      <c r="E93" s="61">
        <f t="shared" si="32"/>
        <v>0.57638888888888784</v>
      </c>
      <c r="F93" s="42">
        <v>3.4722222222220902E-3</v>
      </c>
      <c r="G93" s="62">
        <f t="shared" si="38"/>
        <v>0.57986111111110994</v>
      </c>
      <c r="I93" s="74">
        <f t="shared" si="40"/>
        <v>12</v>
      </c>
      <c r="J93" s="42">
        <f t="shared" si="35"/>
        <v>3.472222222222222E-3</v>
      </c>
      <c r="K93" s="61">
        <f t="shared" si="41"/>
        <v>0.56597222222222121</v>
      </c>
      <c r="L93" s="61">
        <f t="shared" si="42"/>
        <v>0.57986111111111005</v>
      </c>
      <c r="M93" s="42">
        <v>7.6388888888888886E-3</v>
      </c>
      <c r="N93" s="62">
        <f t="shared" si="43"/>
        <v>0.58749999999999891</v>
      </c>
      <c r="O93" s="43"/>
      <c r="P93" s="88"/>
    </row>
    <row r="94" spans="1:16" x14ac:dyDescent="0.3">
      <c r="A94" s="74">
        <v>83</v>
      </c>
      <c r="B94" s="41">
        <f t="shared" si="44"/>
        <v>4</v>
      </c>
      <c r="C94" s="42">
        <f t="shared" si="31"/>
        <v>3.472222222222222E-3</v>
      </c>
      <c r="D94" s="61">
        <f t="shared" si="39"/>
        <v>0.56597222222222121</v>
      </c>
      <c r="E94" s="61">
        <f t="shared" si="32"/>
        <v>0.57986111111111005</v>
      </c>
      <c r="F94" s="42">
        <v>3.4722222222220902E-3</v>
      </c>
      <c r="G94" s="62">
        <f t="shared" si="38"/>
        <v>0.58333333333333215</v>
      </c>
      <c r="I94" s="74">
        <f t="shared" si="40"/>
        <v>1</v>
      </c>
      <c r="J94" s="42">
        <f t="shared" si="35"/>
        <v>3.472222222222222E-3</v>
      </c>
      <c r="K94" s="61">
        <f t="shared" si="41"/>
        <v>0.56944444444444342</v>
      </c>
      <c r="L94" s="61">
        <f t="shared" si="42"/>
        <v>0.58333333333333226</v>
      </c>
      <c r="M94" s="42">
        <v>8.3333333333333297E-3</v>
      </c>
      <c r="N94" s="62">
        <f t="shared" si="43"/>
        <v>0.59166666666666556</v>
      </c>
      <c r="O94" s="43"/>
      <c r="P94" s="88"/>
    </row>
    <row r="95" spans="1:16" x14ac:dyDescent="0.3">
      <c r="A95" s="74">
        <v>84</v>
      </c>
      <c r="B95" s="41">
        <f t="shared" si="44"/>
        <v>5</v>
      </c>
      <c r="C95" s="42">
        <f t="shared" si="31"/>
        <v>3.472222222222222E-3</v>
      </c>
      <c r="D95" s="61">
        <f t="shared" si="39"/>
        <v>0.56944444444444342</v>
      </c>
      <c r="E95" s="61">
        <f t="shared" si="32"/>
        <v>0.58333333333333226</v>
      </c>
      <c r="F95" s="42">
        <v>3.4722222222220902E-3</v>
      </c>
      <c r="G95" s="62">
        <f t="shared" si="38"/>
        <v>0.58680555555555436</v>
      </c>
      <c r="I95" s="74">
        <f t="shared" si="40"/>
        <v>2</v>
      </c>
      <c r="J95" s="42">
        <f t="shared" si="35"/>
        <v>3.472222222222222E-3</v>
      </c>
      <c r="K95" s="61">
        <f t="shared" si="41"/>
        <v>0.57291666666666563</v>
      </c>
      <c r="L95" s="61">
        <f t="shared" si="42"/>
        <v>0.58680555555555447</v>
      </c>
      <c r="M95" s="42">
        <v>9.02777777777777E-3</v>
      </c>
      <c r="N95" s="62">
        <f t="shared" si="43"/>
        <v>0.59583333333333222</v>
      </c>
      <c r="O95" s="43"/>
      <c r="P95" s="88"/>
    </row>
    <row r="96" spans="1:16" x14ac:dyDescent="0.3">
      <c r="A96" s="74">
        <v>85</v>
      </c>
      <c r="B96" s="41">
        <f t="shared" si="44"/>
        <v>6</v>
      </c>
      <c r="C96" s="42">
        <f t="shared" si="31"/>
        <v>3.472222222222222E-3</v>
      </c>
      <c r="D96" s="61">
        <f t="shared" si="39"/>
        <v>0.57291666666666563</v>
      </c>
      <c r="E96" s="61">
        <f t="shared" si="32"/>
        <v>0.58680555555555447</v>
      </c>
      <c r="F96" s="42">
        <v>4.1666666666666666E-3</v>
      </c>
      <c r="G96" s="62">
        <f t="shared" si="38"/>
        <v>0.59097222222222112</v>
      </c>
      <c r="I96" s="74">
        <f t="shared" si="40"/>
        <v>3</v>
      </c>
      <c r="J96" s="42">
        <f t="shared" si="35"/>
        <v>3.472222222222222E-3</v>
      </c>
      <c r="K96" s="61">
        <f t="shared" si="41"/>
        <v>0.57638888888888784</v>
      </c>
      <c r="L96" s="61">
        <f t="shared" si="42"/>
        <v>0.59027777777777668</v>
      </c>
      <c r="M96" s="42">
        <v>9.7222222222222206E-3</v>
      </c>
      <c r="N96" s="62">
        <f t="shared" si="43"/>
        <v>0.59999999999999887</v>
      </c>
      <c r="O96" s="43"/>
      <c r="P96" s="88"/>
    </row>
    <row r="97" spans="1:16" x14ac:dyDescent="0.3">
      <c r="A97" s="74">
        <v>86</v>
      </c>
      <c r="B97" s="41">
        <f t="shared" si="44"/>
        <v>7</v>
      </c>
      <c r="C97" s="42">
        <f t="shared" si="31"/>
        <v>3.472222222222222E-3</v>
      </c>
      <c r="D97" s="61">
        <f t="shared" si="39"/>
        <v>0.57638888888888784</v>
      </c>
      <c r="E97" s="61">
        <f t="shared" si="32"/>
        <v>0.59027777777777668</v>
      </c>
      <c r="F97" s="42">
        <v>4.8611111111112404E-3</v>
      </c>
      <c r="G97" s="62">
        <f t="shared" si="38"/>
        <v>0.59513888888888788</v>
      </c>
      <c r="I97" s="74">
        <f t="shared" si="40"/>
        <v>11</v>
      </c>
      <c r="J97" s="42">
        <f t="shared" si="35"/>
        <v>3.472222222222222E-3</v>
      </c>
      <c r="K97" s="61">
        <f t="shared" si="41"/>
        <v>0.57986111111111005</v>
      </c>
      <c r="L97" s="61">
        <f t="shared" si="42"/>
        <v>0.59374999999999889</v>
      </c>
      <c r="M97" s="42">
        <v>1.0416666666666701E-2</v>
      </c>
      <c r="N97" s="62">
        <f t="shared" si="43"/>
        <v>0.60416666666666563</v>
      </c>
      <c r="O97" s="43"/>
      <c r="P97" s="88"/>
    </row>
    <row r="98" spans="1:16" ht="15" thickBot="1" x14ac:dyDescent="0.35">
      <c r="A98" s="74">
        <v>87</v>
      </c>
      <c r="B98" s="41">
        <f t="shared" si="44"/>
        <v>10</v>
      </c>
      <c r="C98" s="42">
        <f t="shared" si="31"/>
        <v>3.472222222222222E-3</v>
      </c>
      <c r="D98" s="61">
        <f t="shared" si="39"/>
        <v>0.57986111111111005</v>
      </c>
      <c r="E98" s="61">
        <f t="shared" si="32"/>
        <v>0.59374999999999889</v>
      </c>
      <c r="F98" s="42">
        <v>5.5555555555558203E-3</v>
      </c>
      <c r="G98" s="62">
        <f t="shared" si="38"/>
        <v>0.59930555555555476</v>
      </c>
      <c r="I98" s="74">
        <f t="shared" si="40"/>
        <v>4</v>
      </c>
      <c r="J98" s="42">
        <f t="shared" si="35"/>
        <v>3.472222222222222E-3</v>
      </c>
      <c r="K98" s="61">
        <f t="shared" si="41"/>
        <v>0.58333333333333226</v>
      </c>
      <c r="L98" s="61">
        <f t="shared" si="42"/>
        <v>0.5972222222222211</v>
      </c>
      <c r="M98" s="42">
        <v>1.1111111111111099E-2</v>
      </c>
      <c r="N98" s="64">
        <f t="shared" si="43"/>
        <v>0.60833333333333217</v>
      </c>
      <c r="O98" s="43"/>
      <c r="P98" s="88"/>
    </row>
    <row r="99" spans="1:16" ht="15" thickBot="1" x14ac:dyDescent="0.35">
      <c r="A99" s="75">
        <v>88</v>
      </c>
      <c r="B99" s="76">
        <f t="shared" si="44"/>
        <v>8</v>
      </c>
      <c r="C99" s="57">
        <f t="shared" si="31"/>
        <v>3.472222222222222E-3</v>
      </c>
      <c r="D99" s="58">
        <f t="shared" si="39"/>
        <v>0.58333333333333226</v>
      </c>
      <c r="E99" s="58">
        <f t="shared" si="32"/>
        <v>0.5972222222222211</v>
      </c>
      <c r="F99" s="42">
        <v>6.2500000000004002E-3</v>
      </c>
      <c r="G99" s="59">
        <f t="shared" si="38"/>
        <v>0.60347222222222152</v>
      </c>
      <c r="I99" s="75">
        <f t="shared" si="40"/>
        <v>5</v>
      </c>
      <c r="J99" s="57">
        <f t="shared" si="35"/>
        <v>3.472222222222222E-3</v>
      </c>
      <c r="K99" s="58">
        <f t="shared" si="41"/>
        <v>0.58680555555555447</v>
      </c>
      <c r="L99" s="96">
        <f t="shared" si="42"/>
        <v>0.60069444444444331</v>
      </c>
      <c r="M99" s="205" t="s">
        <v>78</v>
      </c>
      <c r="N99" s="206"/>
      <c r="O99" s="43"/>
      <c r="P99" s="88"/>
    </row>
    <row r="100" spans="1:16" x14ac:dyDescent="0.3">
      <c r="A100" s="71">
        <v>89</v>
      </c>
      <c r="B100" s="72">
        <f t="shared" si="44"/>
        <v>12</v>
      </c>
      <c r="C100" s="54">
        <f>D$3</f>
        <v>4.1666666666666666E-3</v>
      </c>
      <c r="D100" s="55">
        <f t="shared" si="39"/>
        <v>0.58749999999999891</v>
      </c>
      <c r="E100" s="55">
        <f t="shared" si="32"/>
        <v>0.60138888888888775</v>
      </c>
      <c r="F100" s="54">
        <v>6.2500000000000003E-3</v>
      </c>
      <c r="G100" s="56">
        <f t="shared" si="38"/>
        <v>0.60763888888888773</v>
      </c>
      <c r="I100" s="71">
        <f t="shared" si="40"/>
        <v>6</v>
      </c>
      <c r="J100" s="54">
        <f t="shared" si="35"/>
        <v>4.1666666666666666E-3</v>
      </c>
      <c r="K100" s="55">
        <f t="shared" si="41"/>
        <v>0.59097222222222112</v>
      </c>
      <c r="L100" s="55">
        <f t="shared" si="42"/>
        <v>0.60486111111110996</v>
      </c>
      <c r="M100" s="54">
        <v>7.6388888888888886E-3</v>
      </c>
      <c r="N100" s="56">
        <f t="shared" si="43"/>
        <v>0.61249999999999882</v>
      </c>
      <c r="O100" s="43"/>
      <c r="P100" s="88"/>
    </row>
    <row r="101" spans="1:16" x14ac:dyDescent="0.3">
      <c r="A101" s="74">
        <v>90</v>
      </c>
      <c r="B101" s="41">
        <f t="shared" si="44"/>
        <v>1</v>
      </c>
      <c r="C101" s="42">
        <f t="shared" ref="C101:C129" si="46">D$3</f>
        <v>4.1666666666666666E-3</v>
      </c>
      <c r="D101" s="61">
        <f t="shared" si="39"/>
        <v>0.59166666666666556</v>
      </c>
      <c r="E101" s="61">
        <f t="shared" si="32"/>
        <v>0.6055555555555544</v>
      </c>
      <c r="F101" s="42">
        <v>6.2500000000000003E-3</v>
      </c>
      <c r="G101" s="62">
        <f t="shared" si="38"/>
        <v>0.61180555555555438</v>
      </c>
      <c r="I101" s="74">
        <f t="shared" si="40"/>
        <v>7</v>
      </c>
      <c r="J101" s="42">
        <f t="shared" si="35"/>
        <v>4.1666666666666666E-3</v>
      </c>
      <c r="K101" s="61">
        <f t="shared" si="41"/>
        <v>0.59513888888888777</v>
      </c>
      <c r="L101" s="61">
        <f t="shared" si="42"/>
        <v>0.60902777777777661</v>
      </c>
      <c r="M101" s="42">
        <v>7.6388888888888886E-3</v>
      </c>
      <c r="N101" s="62">
        <f t="shared" si="43"/>
        <v>0.61666666666666548</v>
      </c>
      <c r="O101" s="43"/>
      <c r="P101" s="88"/>
    </row>
    <row r="102" spans="1:16" x14ac:dyDescent="0.3">
      <c r="A102" s="74">
        <v>91</v>
      </c>
      <c r="B102" s="41">
        <f t="shared" si="44"/>
        <v>2</v>
      </c>
      <c r="C102" s="42">
        <f t="shared" si="46"/>
        <v>4.1666666666666666E-3</v>
      </c>
      <c r="D102" s="61">
        <f t="shared" si="39"/>
        <v>0.59583333333333222</v>
      </c>
      <c r="E102" s="61">
        <f t="shared" si="32"/>
        <v>0.60972222222222106</v>
      </c>
      <c r="F102" s="42">
        <v>6.2500000000000003E-3</v>
      </c>
      <c r="G102" s="62">
        <f t="shared" si="38"/>
        <v>0.61597222222222103</v>
      </c>
      <c r="I102" s="74">
        <f t="shared" si="40"/>
        <v>10</v>
      </c>
      <c r="J102" s="42">
        <f t="shared" si="35"/>
        <v>4.1666666666666666E-3</v>
      </c>
      <c r="K102" s="61">
        <f t="shared" si="41"/>
        <v>0.59930555555555443</v>
      </c>
      <c r="L102" s="61">
        <f t="shared" si="42"/>
        <v>0.61319444444444327</v>
      </c>
      <c r="M102" s="42">
        <v>7.6388888888888886E-3</v>
      </c>
      <c r="N102" s="62">
        <f t="shared" si="43"/>
        <v>0.62083333333333213</v>
      </c>
      <c r="O102" s="43"/>
      <c r="P102" s="88"/>
    </row>
    <row r="103" spans="1:16" x14ac:dyDescent="0.3">
      <c r="A103" s="74">
        <v>92</v>
      </c>
      <c r="B103" s="41">
        <f t="shared" si="44"/>
        <v>3</v>
      </c>
      <c r="C103" s="42">
        <f t="shared" si="46"/>
        <v>4.1666666666666666E-3</v>
      </c>
      <c r="D103" s="61">
        <f t="shared" si="39"/>
        <v>0.59999999999999887</v>
      </c>
      <c r="E103" s="61">
        <f t="shared" si="32"/>
        <v>0.61388888888888771</v>
      </c>
      <c r="F103" s="42">
        <v>6.2500000000000003E-3</v>
      </c>
      <c r="G103" s="62">
        <f t="shared" si="38"/>
        <v>0.62013888888888768</v>
      </c>
      <c r="I103" s="74">
        <f t="shared" si="40"/>
        <v>8</v>
      </c>
      <c r="J103" s="42">
        <f t="shared" si="35"/>
        <v>4.1666666666666666E-3</v>
      </c>
      <c r="K103" s="61">
        <f t="shared" si="41"/>
        <v>0.60347222222222108</v>
      </c>
      <c r="L103" s="61">
        <f t="shared" si="42"/>
        <v>0.61736111111110992</v>
      </c>
      <c r="M103" s="42">
        <v>7.6388888888888886E-3</v>
      </c>
      <c r="N103" s="62">
        <f t="shared" si="43"/>
        <v>0.62499999999999878</v>
      </c>
      <c r="O103" s="43"/>
      <c r="P103" s="88"/>
    </row>
    <row r="104" spans="1:16" x14ac:dyDescent="0.3">
      <c r="A104" s="74">
        <v>93</v>
      </c>
      <c r="B104" s="41">
        <f t="shared" si="44"/>
        <v>11</v>
      </c>
      <c r="C104" s="42">
        <f t="shared" si="46"/>
        <v>4.1666666666666666E-3</v>
      </c>
      <c r="D104" s="61">
        <f t="shared" si="39"/>
        <v>0.60416666666666552</v>
      </c>
      <c r="E104" s="61">
        <f t="shared" si="32"/>
        <v>0.61805555555555436</v>
      </c>
      <c r="F104" s="42">
        <v>6.2500000000000003E-3</v>
      </c>
      <c r="G104" s="62">
        <f t="shared" si="38"/>
        <v>0.62430555555555434</v>
      </c>
      <c r="I104" s="74">
        <f t="shared" si="40"/>
        <v>12</v>
      </c>
      <c r="J104" s="42">
        <f t="shared" si="35"/>
        <v>4.1666666666666666E-3</v>
      </c>
      <c r="K104" s="61">
        <f t="shared" si="41"/>
        <v>0.60763888888888773</v>
      </c>
      <c r="L104" s="61">
        <f t="shared" si="42"/>
        <v>0.62152777777777657</v>
      </c>
      <c r="M104" s="42">
        <v>7.6388888888888886E-3</v>
      </c>
      <c r="N104" s="62">
        <f t="shared" si="43"/>
        <v>0.62916666666666543</v>
      </c>
      <c r="O104" s="43"/>
      <c r="P104" s="88"/>
    </row>
    <row r="105" spans="1:16" x14ac:dyDescent="0.3">
      <c r="A105" s="74">
        <v>94</v>
      </c>
      <c r="B105" s="41">
        <f t="shared" si="44"/>
        <v>4</v>
      </c>
      <c r="C105" s="42">
        <f t="shared" si="46"/>
        <v>4.1666666666666666E-3</v>
      </c>
      <c r="D105" s="61">
        <f t="shared" si="39"/>
        <v>0.60833333333333217</v>
      </c>
      <c r="E105" s="61">
        <f t="shared" si="32"/>
        <v>0.62222222222222101</v>
      </c>
      <c r="F105" s="42">
        <v>6.2500000000000003E-3</v>
      </c>
      <c r="G105" s="62">
        <f t="shared" si="38"/>
        <v>0.62847222222222099</v>
      </c>
      <c r="I105" s="74">
        <f t="shared" si="40"/>
        <v>1</v>
      </c>
      <c r="J105" s="42">
        <f t="shared" si="35"/>
        <v>4.1666666666666666E-3</v>
      </c>
      <c r="K105" s="61">
        <f t="shared" si="41"/>
        <v>0.61180555555555438</v>
      </c>
      <c r="L105" s="61">
        <f t="shared" si="42"/>
        <v>0.62569444444444322</v>
      </c>
      <c r="M105" s="42">
        <v>7.6388888888888886E-3</v>
      </c>
      <c r="N105" s="62">
        <f t="shared" si="43"/>
        <v>0.63333333333333208</v>
      </c>
      <c r="O105" s="43"/>
      <c r="P105" s="88"/>
    </row>
    <row r="106" spans="1:16" x14ac:dyDescent="0.3">
      <c r="A106" s="74">
        <v>95</v>
      </c>
      <c r="B106" s="41">
        <f>I100</f>
        <v>6</v>
      </c>
      <c r="C106" s="42">
        <f t="shared" si="46"/>
        <v>4.1666666666666666E-3</v>
      </c>
      <c r="D106" s="61">
        <f t="shared" si="39"/>
        <v>0.61249999999999882</v>
      </c>
      <c r="E106" s="61">
        <f t="shared" si="32"/>
        <v>0.62638888888888766</v>
      </c>
      <c r="F106" s="42">
        <v>6.2500000000000003E-3</v>
      </c>
      <c r="G106" s="62">
        <f t="shared" si="38"/>
        <v>0.63263888888888764</v>
      </c>
      <c r="I106" s="74">
        <f t="shared" si="40"/>
        <v>2</v>
      </c>
      <c r="J106" s="42">
        <f t="shared" si="35"/>
        <v>4.1666666666666666E-3</v>
      </c>
      <c r="K106" s="61">
        <f t="shared" si="41"/>
        <v>0.61597222222222103</v>
      </c>
      <c r="L106" s="61">
        <f t="shared" si="42"/>
        <v>0.62986111111110987</v>
      </c>
      <c r="M106" s="42">
        <v>7.6388888888888886E-3</v>
      </c>
      <c r="N106" s="62">
        <f t="shared" si="43"/>
        <v>0.63749999999999873</v>
      </c>
      <c r="O106" s="43"/>
      <c r="P106" s="88"/>
    </row>
    <row r="107" spans="1:16" x14ac:dyDescent="0.3">
      <c r="A107" s="74">
        <v>96</v>
      </c>
      <c r="B107" s="41">
        <f t="shared" ref="B107:B170" si="47">I101</f>
        <v>7</v>
      </c>
      <c r="C107" s="42">
        <f t="shared" si="46"/>
        <v>4.1666666666666666E-3</v>
      </c>
      <c r="D107" s="61">
        <f t="shared" si="39"/>
        <v>0.61666666666666548</v>
      </c>
      <c r="E107" s="61">
        <f t="shared" si="32"/>
        <v>0.63055555555555431</v>
      </c>
      <c r="F107" s="42">
        <v>6.2500000000000003E-3</v>
      </c>
      <c r="G107" s="62">
        <f t="shared" si="38"/>
        <v>0.63680555555555429</v>
      </c>
      <c r="I107" s="74">
        <f t="shared" si="40"/>
        <v>3</v>
      </c>
      <c r="J107" s="42">
        <f t="shared" si="35"/>
        <v>4.1666666666666666E-3</v>
      </c>
      <c r="K107" s="61">
        <f t="shared" si="41"/>
        <v>0.62013888888888768</v>
      </c>
      <c r="L107" s="61">
        <f t="shared" si="42"/>
        <v>0.63402777777777652</v>
      </c>
      <c r="M107" s="42">
        <v>7.6388888888888886E-3</v>
      </c>
      <c r="N107" s="62">
        <f t="shared" si="43"/>
        <v>0.64166666666666539</v>
      </c>
      <c r="O107" s="43"/>
      <c r="P107" s="88"/>
    </row>
    <row r="108" spans="1:16" x14ac:dyDescent="0.3">
      <c r="A108" s="74">
        <v>97</v>
      </c>
      <c r="B108" s="41">
        <f t="shared" si="47"/>
        <v>10</v>
      </c>
      <c r="C108" s="42">
        <f t="shared" si="46"/>
        <v>4.1666666666666666E-3</v>
      </c>
      <c r="D108" s="61">
        <f t="shared" si="39"/>
        <v>0.62083333333333213</v>
      </c>
      <c r="E108" s="61">
        <f t="shared" si="32"/>
        <v>0.63472222222222097</v>
      </c>
      <c r="F108" s="42">
        <v>6.2500000000000003E-3</v>
      </c>
      <c r="G108" s="62">
        <f t="shared" si="38"/>
        <v>0.64097222222222094</v>
      </c>
      <c r="I108" s="74">
        <f t="shared" si="40"/>
        <v>11</v>
      </c>
      <c r="J108" s="42">
        <f t="shared" si="35"/>
        <v>4.1666666666666666E-3</v>
      </c>
      <c r="K108" s="61">
        <f t="shared" si="41"/>
        <v>0.62430555555555434</v>
      </c>
      <c r="L108" s="61">
        <f t="shared" si="42"/>
        <v>0.63819444444444318</v>
      </c>
      <c r="M108" s="42">
        <v>7.6388888888888886E-3</v>
      </c>
      <c r="N108" s="62">
        <f t="shared" si="43"/>
        <v>0.64583333333333204</v>
      </c>
      <c r="O108" s="43"/>
      <c r="P108" s="88"/>
    </row>
    <row r="109" spans="1:16" x14ac:dyDescent="0.3">
      <c r="A109" s="74">
        <v>98</v>
      </c>
      <c r="B109" s="41">
        <f t="shared" si="47"/>
        <v>8</v>
      </c>
      <c r="C109" s="42">
        <f t="shared" si="46"/>
        <v>4.1666666666666666E-3</v>
      </c>
      <c r="D109" s="61">
        <f t="shared" ref="D109:D114" si="48">D108+C109</f>
        <v>0.62499999999999878</v>
      </c>
      <c r="E109" s="61">
        <f t="shared" ref="E109:E114" si="49">D109+$C$8</f>
        <v>0.63888888888888762</v>
      </c>
      <c r="F109" s="42">
        <v>6.2500000000000003E-3</v>
      </c>
      <c r="G109" s="62">
        <f t="shared" ref="G109:G114" si="50">E109+F109</f>
        <v>0.6451388888888876</v>
      </c>
      <c r="I109" s="74">
        <f t="shared" si="40"/>
        <v>4</v>
      </c>
      <c r="J109" s="42">
        <f t="shared" si="35"/>
        <v>4.1666666666666666E-3</v>
      </c>
      <c r="K109" s="61">
        <f t="shared" si="41"/>
        <v>0.62847222222222099</v>
      </c>
      <c r="L109" s="61">
        <f t="shared" si="42"/>
        <v>0.64236111111110983</v>
      </c>
      <c r="M109" s="42">
        <v>7.6388888888888886E-3</v>
      </c>
      <c r="N109" s="62">
        <f t="shared" si="43"/>
        <v>0.64999999999999869</v>
      </c>
      <c r="O109" s="43"/>
      <c r="P109" s="88"/>
    </row>
    <row r="110" spans="1:16" x14ac:dyDescent="0.3">
      <c r="A110" s="74">
        <v>99</v>
      </c>
      <c r="B110" s="41">
        <f t="shared" si="47"/>
        <v>12</v>
      </c>
      <c r="C110" s="42">
        <f t="shared" si="46"/>
        <v>4.1666666666666666E-3</v>
      </c>
      <c r="D110" s="61">
        <f t="shared" si="48"/>
        <v>0.62916666666666543</v>
      </c>
      <c r="E110" s="61">
        <f t="shared" si="49"/>
        <v>0.64305555555555427</v>
      </c>
      <c r="F110" s="42">
        <v>6.2500000000000003E-3</v>
      </c>
      <c r="G110" s="62">
        <f t="shared" si="50"/>
        <v>0.64930555555555425</v>
      </c>
      <c r="I110" s="74">
        <f t="shared" si="40"/>
        <v>6</v>
      </c>
      <c r="J110" s="42">
        <f t="shared" si="35"/>
        <v>4.1666666666666666E-3</v>
      </c>
      <c r="K110" s="61">
        <f t="shared" si="41"/>
        <v>0.63263888888888764</v>
      </c>
      <c r="L110" s="61">
        <f t="shared" si="42"/>
        <v>0.64652777777777648</v>
      </c>
      <c r="M110" s="42">
        <v>7.6388888888888886E-3</v>
      </c>
      <c r="N110" s="62">
        <f t="shared" si="43"/>
        <v>0.65416666666666534</v>
      </c>
      <c r="O110" s="43"/>
      <c r="P110" s="88"/>
    </row>
    <row r="111" spans="1:16" x14ac:dyDescent="0.3">
      <c r="A111" s="74">
        <v>100</v>
      </c>
      <c r="B111" s="41">
        <f t="shared" si="47"/>
        <v>1</v>
      </c>
      <c r="C111" s="42">
        <f t="shared" si="46"/>
        <v>4.1666666666666666E-3</v>
      </c>
      <c r="D111" s="61">
        <f t="shared" si="48"/>
        <v>0.63333333333333208</v>
      </c>
      <c r="E111" s="61">
        <f t="shared" si="49"/>
        <v>0.64722222222222092</v>
      </c>
      <c r="F111" s="42">
        <v>6.2500000000000003E-3</v>
      </c>
      <c r="G111" s="62">
        <f t="shared" si="50"/>
        <v>0.6534722222222209</v>
      </c>
      <c r="I111" s="74">
        <f t="shared" si="40"/>
        <v>7</v>
      </c>
      <c r="J111" s="42">
        <f t="shared" si="35"/>
        <v>4.1666666666666666E-3</v>
      </c>
      <c r="K111" s="61">
        <f t="shared" si="41"/>
        <v>0.63680555555555429</v>
      </c>
      <c r="L111" s="61">
        <f t="shared" si="42"/>
        <v>0.65069444444444313</v>
      </c>
      <c r="M111" s="42">
        <v>7.6388888888888886E-3</v>
      </c>
      <c r="N111" s="62">
        <f t="shared" ref="N111:N168" si="51">L111+M111</f>
        <v>0.65833333333333199</v>
      </c>
      <c r="O111" s="43"/>
      <c r="P111" s="88"/>
    </row>
    <row r="112" spans="1:16" x14ac:dyDescent="0.3">
      <c r="A112" s="74">
        <v>101</v>
      </c>
      <c r="B112" s="41">
        <f t="shared" si="47"/>
        <v>2</v>
      </c>
      <c r="C112" s="42">
        <f t="shared" si="46"/>
        <v>4.1666666666666666E-3</v>
      </c>
      <c r="D112" s="61">
        <f t="shared" si="48"/>
        <v>0.63749999999999873</v>
      </c>
      <c r="E112" s="61">
        <f t="shared" si="49"/>
        <v>0.65138888888888757</v>
      </c>
      <c r="F112" s="42">
        <v>6.2500000000000003E-3</v>
      </c>
      <c r="G112" s="62">
        <f t="shared" si="50"/>
        <v>0.65763888888888755</v>
      </c>
      <c r="I112" s="74">
        <f t="shared" si="40"/>
        <v>10</v>
      </c>
      <c r="J112" s="42">
        <f t="shared" si="35"/>
        <v>4.1666666666666666E-3</v>
      </c>
      <c r="K112" s="61">
        <f t="shared" si="41"/>
        <v>0.64097222222222094</v>
      </c>
      <c r="L112" s="61">
        <f t="shared" si="42"/>
        <v>0.65486111111110978</v>
      </c>
      <c r="M112" s="42">
        <v>7.6388888888888886E-3</v>
      </c>
      <c r="N112" s="62">
        <f t="shared" si="51"/>
        <v>0.66249999999999865</v>
      </c>
      <c r="O112" s="43"/>
      <c r="P112" s="88"/>
    </row>
    <row r="113" spans="1:16" ht="15" customHeight="1" x14ac:dyDescent="0.3">
      <c r="A113" s="74">
        <v>102</v>
      </c>
      <c r="B113" s="41">
        <f t="shared" si="47"/>
        <v>3</v>
      </c>
      <c r="C113" s="42">
        <f t="shared" si="46"/>
        <v>4.1666666666666666E-3</v>
      </c>
      <c r="D113" s="61">
        <f t="shared" si="48"/>
        <v>0.64166666666666539</v>
      </c>
      <c r="E113" s="61">
        <f t="shared" si="49"/>
        <v>0.65555555555555423</v>
      </c>
      <c r="F113" s="42">
        <v>6.2500000000000003E-3</v>
      </c>
      <c r="G113" s="62">
        <f t="shared" si="50"/>
        <v>0.6618055555555542</v>
      </c>
      <c r="I113" s="74">
        <f t="shared" si="40"/>
        <v>8</v>
      </c>
      <c r="J113" s="42">
        <f t="shared" si="35"/>
        <v>4.1666666666666666E-3</v>
      </c>
      <c r="K113" s="61">
        <f t="shared" ref="K113:K119" si="52">K112+J113</f>
        <v>0.6451388888888876</v>
      </c>
      <c r="L113" s="61">
        <f t="shared" ref="L113:L119" si="53">K113+$J$6</f>
        <v>0.65902777777777644</v>
      </c>
      <c r="M113" s="42">
        <v>7.6388888888888886E-3</v>
      </c>
      <c r="N113" s="62">
        <f t="shared" si="51"/>
        <v>0.6666666666666653</v>
      </c>
      <c r="O113" s="43"/>
      <c r="P113" s="88"/>
    </row>
    <row r="114" spans="1:16" ht="15" customHeight="1" x14ac:dyDescent="0.3">
      <c r="A114" s="74">
        <v>103</v>
      </c>
      <c r="B114" s="41">
        <f t="shared" si="47"/>
        <v>11</v>
      </c>
      <c r="C114" s="42">
        <f t="shared" si="46"/>
        <v>4.1666666666666666E-3</v>
      </c>
      <c r="D114" s="61">
        <f t="shared" si="48"/>
        <v>0.64583333333333204</v>
      </c>
      <c r="E114" s="61">
        <f t="shared" si="49"/>
        <v>0.65972222222222088</v>
      </c>
      <c r="F114" s="42">
        <v>6.2500000000000003E-3</v>
      </c>
      <c r="G114" s="62">
        <f t="shared" si="50"/>
        <v>0.66597222222222086</v>
      </c>
      <c r="I114" s="74">
        <f t="shared" si="40"/>
        <v>12</v>
      </c>
      <c r="J114" s="42">
        <f t="shared" si="35"/>
        <v>4.1666666666666666E-3</v>
      </c>
      <c r="K114" s="61">
        <f t="shared" si="52"/>
        <v>0.64930555555555425</v>
      </c>
      <c r="L114" s="61">
        <f t="shared" si="53"/>
        <v>0.66319444444444309</v>
      </c>
      <c r="M114" s="42">
        <v>7.6388888888888886E-3</v>
      </c>
      <c r="N114" s="62">
        <f t="shared" si="51"/>
        <v>0.67083333333333195</v>
      </c>
      <c r="O114" s="43"/>
      <c r="P114" s="88"/>
    </row>
    <row r="115" spans="1:16" x14ac:dyDescent="0.3">
      <c r="A115" s="74">
        <v>104</v>
      </c>
      <c r="B115" s="41">
        <f t="shared" si="47"/>
        <v>4</v>
      </c>
      <c r="C115" s="42">
        <f t="shared" si="46"/>
        <v>4.1666666666666666E-3</v>
      </c>
      <c r="D115" s="61">
        <f t="shared" ref="D115:D116" si="54">D114+C115</f>
        <v>0.64999999999999869</v>
      </c>
      <c r="E115" s="61">
        <f t="shared" ref="E115:E116" si="55">D115+$C$8</f>
        <v>0.66388888888888753</v>
      </c>
      <c r="F115" s="42">
        <v>6.2500000000000003E-3</v>
      </c>
      <c r="G115" s="62">
        <f t="shared" ref="G115:G116" si="56">E115+F115</f>
        <v>0.67013888888888751</v>
      </c>
      <c r="I115" s="74">
        <f t="shared" si="40"/>
        <v>1</v>
      </c>
      <c r="J115" s="42">
        <f t="shared" si="35"/>
        <v>4.1666666666666666E-3</v>
      </c>
      <c r="K115" s="61">
        <f t="shared" si="52"/>
        <v>0.6534722222222209</v>
      </c>
      <c r="L115" s="61">
        <f t="shared" si="53"/>
        <v>0.66736111111110974</v>
      </c>
      <c r="M115" s="42">
        <v>7.6388888888888886E-3</v>
      </c>
      <c r="N115" s="62">
        <f t="shared" si="51"/>
        <v>0.6749999999999986</v>
      </c>
      <c r="O115" s="43"/>
      <c r="P115" s="88"/>
    </row>
    <row r="116" spans="1:16" x14ac:dyDescent="0.3">
      <c r="A116" s="74">
        <v>105</v>
      </c>
      <c r="B116" s="41">
        <f t="shared" si="47"/>
        <v>6</v>
      </c>
      <c r="C116" s="42">
        <f t="shared" si="46"/>
        <v>4.1666666666666666E-3</v>
      </c>
      <c r="D116" s="61">
        <f t="shared" si="54"/>
        <v>0.65416666666666534</v>
      </c>
      <c r="E116" s="61">
        <f t="shared" si="55"/>
        <v>0.66805555555555418</v>
      </c>
      <c r="F116" s="42">
        <v>6.2500000000000003E-3</v>
      </c>
      <c r="G116" s="62">
        <f t="shared" si="56"/>
        <v>0.67430555555555416</v>
      </c>
      <c r="I116" s="74">
        <f t="shared" si="40"/>
        <v>2</v>
      </c>
      <c r="J116" s="42">
        <f t="shared" si="35"/>
        <v>4.1666666666666666E-3</v>
      </c>
      <c r="K116" s="61">
        <f t="shared" si="52"/>
        <v>0.65763888888888755</v>
      </c>
      <c r="L116" s="61">
        <f t="shared" si="53"/>
        <v>0.67152777777777639</v>
      </c>
      <c r="M116" s="42">
        <v>7.6388888888888886E-3</v>
      </c>
      <c r="N116" s="62">
        <f t="shared" si="51"/>
        <v>0.67916666666666525</v>
      </c>
      <c r="O116" s="43"/>
      <c r="P116" s="88"/>
    </row>
    <row r="117" spans="1:16" x14ac:dyDescent="0.3">
      <c r="A117" s="74">
        <v>106</v>
      </c>
      <c r="B117" s="41">
        <f t="shared" si="47"/>
        <v>7</v>
      </c>
      <c r="C117" s="42">
        <f t="shared" si="46"/>
        <v>4.1666666666666666E-3</v>
      </c>
      <c r="D117" s="61">
        <f t="shared" ref="D117:D174" si="57">D116+C117</f>
        <v>0.65833333333333199</v>
      </c>
      <c r="E117" s="61">
        <f t="shared" ref="E117:E174" si="58">D117+$C$8</f>
        <v>0.67222222222222083</v>
      </c>
      <c r="F117" s="42">
        <v>6.2500000000000003E-3</v>
      </c>
      <c r="G117" s="62">
        <f t="shared" ref="G117:G174" si="59">E117+F117</f>
        <v>0.67847222222222081</v>
      </c>
      <c r="I117" s="74">
        <f t="shared" si="40"/>
        <v>3</v>
      </c>
      <c r="J117" s="42">
        <f t="shared" si="35"/>
        <v>4.1666666666666666E-3</v>
      </c>
      <c r="K117" s="61">
        <f t="shared" si="52"/>
        <v>0.6618055555555542</v>
      </c>
      <c r="L117" s="61">
        <f t="shared" si="53"/>
        <v>0.67569444444444304</v>
      </c>
      <c r="M117" s="42">
        <v>7.6388888888888886E-3</v>
      </c>
      <c r="N117" s="62">
        <f t="shared" si="51"/>
        <v>0.6833333333333319</v>
      </c>
      <c r="O117" s="43"/>
      <c r="P117" s="88"/>
    </row>
    <row r="118" spans="1:16" ht="15" customHeight="1" x14ac:dyDescent="0.3">
      <c r="A118" s="74">
        <v>107</v>
      </c>
      <c r="B118" s="41">
        <f t="shared" si="47"/>
        <v>10</v>
      </c>
      <c r="C118" s="42">
        <f t="shared" si="46"/>
        <v>4.1666666666666666E-3</v>
      </c>
      <c r="D118" s="61">
        <f t="shared" si="57"/>
        <v>0.66249999999999865</v>
      </c>
      <c r="E118" s="61">
        <f t="shared" si="58"/>
        <v>0.67638888888888749</v>
      </c>
      <c r="F118" s="42">
        <v>6.2500000000000003E-3</v>
      </c>
      <c r="G118" s="62">
        <f t="shared" si="59"/>
        <v>0.68263888888888746</v>
      </c>
      <c r="I118" s="74">
        <f t="shared" si="40"/>
        <v>11</v>
      </c>
      <c r="J118" s="42">
        <f t="shared" si="35"/>
        <v>4.1666666666666666E-3</v>
      </c>
      <c r="K118" s="61">
        <f>K117+J118</f>
        <v>0.66597222222222086</v>
      </c>
      <c r="L118" s="61">
        <f t="shared" si="53"/>
        <v>0.67986111111110969</v>
      </c>
      <c r="M118" s="42">
        <v>7.6388888888888886E-3</v>
      </c>
      <c r="N118" s="62">
        <f t="shared" si="51"/>
        <v>0.68749999999999856</v>
      </c>
      <c r="O118" s="43"/>
      <c r="P118" s="88"/>
    </row>
    <row r="119" spans="1:16" ht="15" customHeight="1" x14ac:dyDescent="0.3">
      <c r="A119" s="74">
        <v>108</v>
      </c>
      <c r="B119" s="41">
        <f t="shared" si="47"/>
        <v>8</v>
      </c>
      <c r="C119" s="42">
        <f t="shared" si="46"/>
        <v>4.1666666666666666E-3</v>
      </c>
      <c r="D119" s="61">
        <f t="shared" si="57"/>
        <v>0.6666666666666653</v>
      </c>
      <c r="E119" s="61">
        <f t="shared" si="58"/>
        <v>0.68055555555555414</v>
      </c>
      <c r="F119" s="42">
        <v>6.2500000000000003E-3</v>
      </c>
      <c r="G119" s="62">
        <f t="shared" si="59"/>
        <v>0.68680555555555411</v>
      </c>
      <c r="I119" s="74">
        <f t="shared" si="40"/>
        <v>4</v>
      </c>
      <c r="J119" s="42">
        <f t="shared" si="35"/>
        <v>4.1666666666666666E-3</v>
      </c>
      <c r="K119" s="61">
        <f t="shared" si="52"/>
        <v>0.67013888888888751</v>
      </c>
      <c r="L119" s="61">
        <f t="shared" si="53"/>
        <v>0.68402777777777635</v>
      </c>
      <c r="M119" s="42">
        <v>7.6388888888888886E-3</v>
      </c>
      <c r="N119" s="62">
        <f t="shared" si="51"/>
        <v>0.69166666666666521</v>
      </c>
      <c r="O119" s="43"/>
      <c r="P119" s="88"/>
    </row>
    <row r="120" spans="1:16" ht="15" customHeight="1" x14ac:dyDescent="0.3">
      <c r="A120" s="74">
        <v>109</v>
      </c>
      <c r="B120" s="41">
        <f t="shared" si="47"/>
        <v>12</v>
      </c>
      <c r="C120" s="42">
        <f t="shared" si="46"/>
        <v>4.1666666666666666E-3</v>
      </c>
      <c r="D120" s="61">
        <f t="shared" si="57"/>
        <v>0.67083333333333195</v>
      </c>
      <c r="E120" s="61">
        <f t="shared" si="58"/>
        <v>0.68472222222222079</v>
      </c>
      <c r="F120" s="42">
        <v>6.2500000000000003E-3</v>
      </c>
      <c r="G120" s="62">
        <f t="shared" si="59"/>
        <v>0.69097222222222077</v>
      </c>
      <c r="I120" s="74">
        <f t="shared" si="40"/>
        <v>6</v>
      </c>
      <c r="J120" s="42">
        <f t="shared" si="35"/>
        <v>4.1666666666666666E-3</v>
      </c>
      <c r="K120" s="61">
        <f t="shared" ref="K120:K176" si="60">K119+J120</f>
        <v>0.67430555555555416</v>
      </c>
      <c r="L120" s="61">
        <f t="shared" ref="L120:L176" si="61">K120+$J$6</f>
        <v>0.688194444444443</v>
      </c>
      <c r="M120" s="42">
        <v>7.6388888888888886E-3</v>
      </c>
      <c r="N120" s="62">
        <f t="shared" si="51"/>
        <v>0.69583333333333186</v>
      </c>
      <c r="O120" s="43"/>
      <c r="P120" s="88"/>
    </row>
    <row r="121" spans="1:16" ht="15" customHeight="1" x14ac:dyDescent="0.3">
      <c r="A121" s="74">
        <v>110</v>
      </c>
      <c r="B121" s="41">
        <f t="shared" si="47"/>
        <v>1</v>
      </c>
      <c r="C121" s="42">
        <f t="shared" si="46"/>
        <v>4.1666666666666666E-3</v>
      </c>
      <c r="D121" s="61">
        <f t="shared" si="57"/>
        <v>0.6749999999999986</v>
      </c>
      <c r="E121" s="61">
        <f t="shared" si="58"/>
        <v>0.68888888888888744</v>
      </c>
      <c r="F121" s="42">
        <v>6.2500000000000003E-3</v>
      </c>
      <c r="G121" s="62">
        <f t="shared" si="59"/>
        <v>0.69513888888888742</v>
      </c>
      <c r="I121" s="74">
        <f t="shared" si="40"/>
        <v>7</v>
      </c>
      <c r="J121" s="42">
        <f t="shared" si="35"/>
        <v>4.1666666666666666E-3</v>
      </c>
      <c r="K121" s="61">
        <f t="shared" si="60"/>
        <v>0.67847222222222081</v>
      </c>
      <c r="L121" s="61">
        <f t="shared" si="61"/>
        <v>0.69236111111110965</v>
      </c>
      <c r="M121" s="42">
        <v>7.6388888888888886E-3</v>
      </c>
      <c r="N121" s="62">
        <f t="shared" si="51"/>
        <v>0.69999999999999851</v>
      </c>
      <c r="O121" s="43"/>
      <c r="P121" s="88"/>
    </row>
    <row r="122" spans="1:16" x14ac:dyDescent="0.3">
      <c r="A122" s="74">
        <v>111</v>
      </c>
      <c r="B122" s="41">
        <f t="shared" si="47"/>
        <v>2</v>
      </c>
      <c r="C122" s="42">
        <f t="shared" si="46"/>
        <v>4.1666666666666666E-3</v>
      </c>
      <c r="D122" s="61">
        <f t="shared" si="57"/>
        <v>0.67916666666666525</v>
      </c>
      <c r="E122" s="61">
        <f t="shared" si="58"/>
        <v>0.69305555555555409</v>
      </c>
      <c r="F122" s="42">
        <v>6.2500000000000003E-3</v>
      </c>
      <c r="G122" s="62">
        <f t="shared" si="59"/>
        <v>0.69930555555555407</v>
      </c>
      <c r="I122" s="74">
        <f t="shared" si="40"/>
        <v>10</v>
      </c>
      <c r="J122" s="42">
        <f t="shared" si="35"/>
        <v>4.1666666666666666E-3</v>
      </c>
      <c r="K122" s="61">
        <f t="shared" si="60"/>
        <v>0.68263888888888746</v>
      </c>
      <c r="L122" s="61">
        <f t="shared" si="61"/>
        <v>0.6965277777777763</v>
      </c>
      <c r="M122" s="42">
        <v>7.6388888888888886E-3</v>
      </c>
      <c r="N122" s="62">
        <f t="shared" si="51"/>
        <v>0.70416666666666516</v>
      </c>
    </row>
    <row r="123" spans="1:16" x14ac:dyDescent="0.3">
      <c r="A123" s="74">
        <v>112</v>
      </c>
      <c r="B123" s="41">
        <f t="shared" si="47"/>
        <v>3</v>
      </c>
      <c r="C123" s="42">
        <f t="shared" si="46"/>
        <v>4.1666666666666666E-3</v>
      </c>
      <c r="D123" s="61">
        <f t="shared" si="57"/>
        <v>0.6833333333333319</v>
      </c>
      <c r="E123" s="61">
        <f t="shared" si="58"/>
        <v>0.69722222222222074</v>
      </c>
      <c r="F123" s="42">
        <v>6.2500000000000003E-3</v>
      </c>
      <c r="G123" s="62">
        <f t="shared" si="59"/>
        <v>0.70347222222222072</v>
      </c>
      <c r="I123" s="74">
        <f t="shared" si="40"/>
        <v>8</v>
      </c>
      <c r="J123" s="42">
        <f t="shared" si="35"/>
        <v>4.1666666666666666E-3</v>
      </c>
      <c r="K123" s="61">
        <f t="shared" si="60"/>
        <v>0.68680555555555411</v>
      </c>
      <c r="L123" s="61">
        <f t="shared" si="61"/>
        <v>0.70069444444444295</v>
      </c>
      <c r="M123" s="42">
        <v>7.6388888888888886E-3</v>
      </c>
      <c r="N123" s="62">
        <f t="shared" si="51"/>
        <v>0.70833333333333182</v>
      </c>
    </row>
    <row r="124" spans="1:16" x14ac:dyDescent="0.3">
      <c r="A124" s="74">
        <v>113</v>
      </c>
      <c r="B124" s="41">
        <f t="shared" si="47"/>
        <v>11</v>
      </c>
      <c r="C124" s="42">
        <f t="shared" si="46"/>
        <v>4.1666666666666666E-3</v>
      </c>
      <c r="D124" s="61">
        <f t="shared" si="57"/>
        <v>0.68749999999999856</v>
      </c>
      <c r="E124" s="61">
        <f t="shared" si="58"/>
        <v>0.7013888888888874</v>
      </c>
      <c r="F124" s="42">
        <v>6.2500000000000003E-3</v>
      </c>
      <c r="G124" s="62">
        <f t="shared" si="59"/>
        <v>0.70763888888888737</v>
      </c>
      <c r="I124" s="74">
        <f t="shared" si="40"/>
        <v>12</v>
      </c>
      <c r="J124" s="42">
        <f t="shared" si="35"/>
        <v>4.1666666666666666E-3</v>
      </c>
      <c r="K124" s="61">
        <f t="shared" si="60"/>
        <v>0.69097222222222077</v>
      </c>
      <c r="L124" s="61">
        <f t="shared" si="61"/>
        <v>0.70486111111110961</v>
      </c>
      <c r="M124" s="42">
        <v>6.9444444444444441E-3</v>
      </c>
      <c r="N124" s="62">
        <f t="shared" si="51"/>
        <v>0.71180555555555403</v>
      </c>
    </row>
    <row r="125" spans="1:16" x14ac:dyDescent="0.3">
      <c r="A125" s="74">
        <v>114</v>
      </c>
      <c r="B125" s="41">
        <f t="shared" si="47"/>
        <v>4</v>
      </c>
      <c r="C125" s="42">
        <f t="shared" si="46"/>
        <v>4.1666666666666666E-3</v>
      </c>
      <c r="D125" s="61">
        <f t="shared" si="57"/>
        <v>0.69166666666666521</v>
      </c>
      <c r="E125" s="61">
        <f t="shared" si="58"/>
        <v>0.70555555555555405</v>
      </c>
      <c r="F125" s="42">
        <v>6.2500000000000003E-3</v>
      </c>
      <c r="G125" s="62">
        <f t="shared" si="59"/>
        <v>0.71180555555555403</v>
      </c>
      <c r="I125" s="74">
        <f t="shared" si="40"/>
        <v>1</v>
      </c>
      <c r="J125" s="42">
        <f t="shared" si="35"/>
        <v>4.1666666666666666E-3</v>
      </c>
      <c r="K125" s="61">
        <f t="shared" si="60"/>
        <v>0.69513888888888742</v>
      </c>
      <c r="L125" s="61">
        <f t="shared" si="61"/>
        <v>0.70902777777777626</v>
      </c>
      <c r="M125" s="42">
        <v>6.2500000000000003E-3</v>
      </c>
      <c r="N125" s="62">
        <f t="shared" si="51"/>
        <v>0.71527777777777624</v>
      </c>
    </row>
    <row r="126" spans="1:16" x14ac:dyDescent="0.3">
      <c r="A126" s="74">
        <v>115</v>
      </c>
      <c r="B126" s="41">
        <f t="shared" si="47"/>
        <v>6</v>
      </c>
      <c r="C126" s="42">
        <f t="shared" si="46"/>
        <v>4.1666666666666666E-3</v>
      </c>
      <c r="D126" s="61">
        <f t="shared" si="57"/>
        <v>0.69583333333333186</v>
      </c>
      <c r="E126" s="61">
        <f t="shared" si="58"/>
        <v>0.7097222222222207</v>
      </c>
      <c r="F126" s="42">
        <v>5.5555555555555558E-3</v>
      </c>
      <c r="G126" s="62">
        <f t="shared" si="59"/>
        <v>0.71527777777777624</v>
      </c>
      <c r="I126" s="74">
        <f t="shared" si="40"/>
        <v>2</v>
      </c>
      <c r="J126" s="42">
        <f t="shared" si="35"/>
        <v>4.1666666666666666E-3</v>
      </c>
      <c r="K126" s="61">
        <f t="shared" si="60"/>
        <v>0.69930555555555407</v>
      </c>
      <c r="L126" s="61">
        <f t="shared" si="61"/>
        <v>0.71319444444444291</v>
      </c>
      <c r="M126" s="42">
        <v>5.5555555555555601E-3</v>
      </c>
      <c r="N126" s="62">
        <f t="shared" si="51"/>
        <v>0.71874999999999845</v>
      </c>
    </row>
    <row r="127" spans="1:16" x14ac:dyDescent="0.3">
      <c r="A127" s="74">
        <v>116</v>
      </c>
      <c r="B127" s="41">
        <f t="shared" si="47"/>
        <v>7</v>
      </c>
      <c r="C127" s="42">
        <f t="shared" si="46"/>
        <v>4.1666666666666666E-3</v>
      </c>
      <c r="D127" s="61">
        <f t="shared" si="57"/>
        <v>0.69999999999999851</v>
      </c>
      <c r="E127" s="61">
        <f t="shared" si="58"/>
        <v>0.71388888888888735</v>
      </c>
      <c r="F127" s="42">
        <v>4.8611111111111103E-3</v>
      </c>
      <c r="G127" s="62">
        <f t="shared" si="59"/>
        <v>0.71874999999999845</v>
      </c>
      <c r="I127" s="74">
        <f t="shared" si="40"/>
        <v>3</v>
      </c>
      <c r="J127" s="42">
        <f t="shared" si="35"/>
        <v>4.1666666666666666E-3</v>
      </c>
      <c r="K127" s="61">
        <f t="shared" si="60"/>
        <v>0.70347222222222072</v>
      </c>
      <c r="L127" s="61">
        <f t="shared" si="61"/>
        <v>0.71736111111110956</v>
      </c>
      <c r="M127" s="42">
        <v>4.8611111111111103E-3</v>
      </c>
      <c r="N127" s="62">
        <f t="shared" si="51"/>
        <v>0.72222222222222066</v>
      </c>
    </row>
    <row r="128" spans="1:16" x14ac:dyDescent="0.3">
      <c r="A128" s="74">
        <v>117</v>
      </c>
      <c r="B128" s="41">
        <f t="shared" si="47"/>
        <v>10</v>
      </c>
      <c r="C128" s="42">
        <f t="shared" si="46"/>
        <v>4.1666666666666666E-3</v>
      </c>
      <c r="D128" s="61">
        <f t="shared" si="57"/>
        <v>0.70416666666666516</v>
      </c>
      <c r="E128" s="61">
        <f t="shared" si="58"/>
        <v>0.718055555555554</v>
      </c>
      <c r="F128" s="42">
        <v>4.1666666666666701E-3</v>
      </c>
      <c r="G128" s="62">
        <f t="shared" si="59"/>
        <v>0.72222222222222066</v>
      </c>
      <c r="I128" s="74">
        <f t="shared" si="40"/>
        <v>11</v>
      </c>
      <c r="J128" s="42">
        <f t="shared" si="35"/>
        <v>4.1666666666666666E-3</v>
      </c>
      <c r="K128" s="61">
        <f t="shared" si="60"/>
        <v>0.70763888888888737</v>
      </c>
      <c r="L128" s="61">
        <f t="shared" si="61"/>
        <v>0.72152777777777621</v>
      </c>
      <c r="M128" s="42">
        <v>4.1666666666666701E-3</v>
      </c>
      <c r="N128" s="62">
        <f t="shared" si="51"/>
        <v>0.72569444444444287</v>
      </c>
    </row>
    <row r="129" spans="1:14" ht="15" thickBot="1" x14ac:dyDescent="0.35">
      <c r="A129" s="75">
        <v>118</v>
      </c>
      <c r="B129" s="76">
        <f t="shared" si="47"/>
        <v>8</v>
      </c>
      <c r="C129" s="57">
        <f t="shared" si="46"/>
        <v>4.1666666666666666E-3</v>
      </c>
      <c r="D129" s="58">
        <f t="shared" si="57"/>
        <v>0.70833333333333182</v>
      </c>
      <c r="E129" s="58">
        <f t="shared" si="58"/>
        <v>0.72222222222222066</v>
      </c>
      <c r="F129" s="42">
        <v>3.4722222222222199E-3</v>
      </c>
      <c r="G129" s="59">
        <f t="shared" si="59"/>
        <v>0.72569444444444287</v>
      </c>
      <c r="I129" s="75">
        <f t="shared" si="40"/>
        <v>4</v>
      </c>
      <c r="J129" s="57">
        <f t="shared" si="35"/>
        <v>4.1666666666666666E-3</v>
      </c>
      <c r="K129" s="58">
        <f t="shared" si="60"/>
        <v>0.71180555555555403</v>
      </c>
      <c r="L129" s="58">
        <f t="shared" si="61"/>
        <v>0.72569444444444287</v>
      </c>
      <c r="M129" s="42">
        <v>3.4722222222222199E-3</v>
      </c>
      <c r="N129" s="59">
        <f t="shared" si="51"/>
        <v>0.72916666666666508</v>
      </c>
    </row>
    <row r="130" spans="1:14" x14ac:dyDescent="0.3">
      <c r="A130" s="71">
        <v>119</v>
      </c>
      <c r="B130" s="72">
        <f t="shared" si="47"/>
        <v>12</v>
      </c>
      <c r="C130" s="54">
        <f t="shared" ref="C130:C163" si="62">C$5</f>
        <v>3.472222222222222E-3</v>
      </c>
      <c r="D130" s="55">
        <f t="shared" si="57"/>
        <v>0.71180555555555403</v>
      </c>
      <c r="E130" s="55">
        <f t="shared" si="58"/>
        <v>0.72569444444444287</v>
      </c>
      <c r="F130" s="54">
        <v>3.4722222222208902E-3</v>
      </c>
      <c r="G130" s="56">
        <f t="shared" si="59"/>
        <v>0.72916666666666374</v>
      </c>
      <c r="I130" s="71">
        <f t="shared" si="40"/>
        <v>6</v>
      </c>
      <c r="J130" s="54">
        <f t="shared" si="35"/>
        <v>3.472222222222222E-3</v>
      </c>
      <c r="K130" s="55">
        <f t="shared" si="60"/>
        <v>0.71527777777777624</v>
      </c>
      <c r="L130" s="55">
        <f t="shared" si="61"/>
        <v>0.72916666666666508</v>
      </c>
      <c r="M130" s="54">
        <v>3.472222222222222E-3</v>
      </c>
      <c r="N130" s="56">
        <f t="shared" si="51"/>
        <v>0.73263888888888729</v>
      </c>
    </row>
    <row r="131" spans="1:14" x14ac:dyDescent="0.3">
      <c r="A131" s="74">
        <v>120</v>
      </c>
      <c r="B131" s="41">
        <f t="shared" si="47"/>
        <v>1</v>
      </c>
      <c r="C131" s="42">
        <f t="shared" si="62"/>
        <v>3.472222222222222E-3</v>
      </c>
      <c r="D131" s="61">
        <f t="shared" si="57"/>
        <v>0.71527777777777624</v>
      </c>
      <c r="E131" s="61">
        <f t="shared" si="58"/>
        <v>0.72916666666666508</v>
      </c>
      <c r="F131" s="42">
        <v>3.4722222222208902E-3</v>
      </c>
      <c r="G131" s="62">
        <f t="shared" si="59"/>
        <v>0.73263888888888595</v>
      </c>
      <c r="I131" s="74">
        <f t="shared" si="40"/>
        <v>7</v>
      </c>
      <c r="J131" s="42">
        <f t="shared" si="35"/>
        <v>3.472222222222222E-3</v>
      </c>
      <c r="K131" s="61">
        <f t="shared" si="60"/>
        <v>0.71874999999999845</v>
      </c>
      <c r="L131" s="61">
        <f t="shared" si="61"/>
        <v>0.73263888888888729</v>
      </c>
      <c r="M131" s="42">
        <v>3.472222222222222E-3</v>
      </c>
      <c r="N131" s="62">
        <f t="shared" si="51"/>
        <v>0.7361111111111095</v>
      </c>
    </row>
    <row r="132" spans="1:14" x14ac:dyDescent="0.3">
      <c r="A132" s="74">
        <v>121</v>
      </c>
      <c r="B132" s="41">
        <f t="shared" si="47"/>
        <v>2</v>
      </c>
      <c r="C132" s="42">
        <f t="shared" si="62"/>
        <v>3.472222222222222E-3</v>
      </c>
      <c r="D132" s="61">
        <f t="shared" si="57"/>
        <v>0.71874999999999845</v>
      </c>
      <c r="E132" s="61">
        <f t="shared" si="58"/>
        <v>0.73263888888888729</v>
      </c>
      <c r="F132" s="42">
        <v>3.4722222222208902E-3</v>
      </c>
      <c r="G132" s="62">
        <f t="shared" si="59"/>
        <v>0.73611111111110816</v>
      </c>
      <c r="I132" s="74">
        <f t="shared" si="40"/>
        <v>10</v>
      </c>
      <c r="J132" s="42">
        <f t="shared" si="35"/>
        <v>3.472222222222222E-3</v>
      </c>
      <c r="K132" s="61">
        <f t="shared" si="60"/>
        <v>0.72222222222222066</v>
      </c>
      <c r="L132" s="61">
        <f t="shared" si="61"/>
        <v>0.7361111111111095</v>
      </c>
      <c r="M132" s="42">
        <v>3.472222222222222E-3</v>
      </c>
      <c r="N132" s="62">
        <f t="shared" si="51"/>
        <v>0.73958333333333171</v>
      </c>
    </row>
    <row r="133" spans="1:14" x14ac:dyDescent="0.3">
      <c r="A133" s="74">
        <v>122</v>
      </c>
      <c r="B133" s="41">
        <f t="shared" si="47"/>
        <v>3</v>
      </c>
      <c r="C133" s="42">
        <f t="shared" si="62"/>
        <v>3.472222222222222E-3</v>
      </c>
      <c r="D133" s="61">
        <f t="shared" si="57"/>
        <v>0.72222222222222066</v>
      </c>
      <c r="E133" s="61">
        <f t="shared" si="58"/>
        <v>0.7361111111111095</v>
      </c>
      <c r="F133" s="42">
        <v>3.4722222222208902E-3</v>
      </c>
      <c r="G133" s="62">
        <f t="shared" si="59"/>
        <v>0.73958333333333037</v>
      </c>
      <c r="I133" s="74">
        <f t="shared" si="40"/>
        <v>8</v>
      </c>
      <c r="J133" s="42">
        <f t="shared" si="35"/>
        <v>3.472222222222222E-3</v>
      </c>
      <c r="K133" s="61">
        <f t="shared" si="60"/>
        <v>0.72569444444444287</v>
      </c>
      <c r="L133" s="61">
        <f t="shared" si="61"/>
        <v>0.73958333333333171</v>
      </c>
      <c r="M133" s="42">
        <v>3.472222222222222E-3</v>
      </c>
      <c r="N133" s="62">
        <f t="shared" si="51"/>
        <v>0.74305555555555391</v>
      </c>
    </row>
    <row r="134" spans="1:14" x14ac:dyDescent="0.3">
      <c r="A134" s="74">
        <v>123</v>
      </c>
      <c r="B134" s="41">
        <f t="shared" si="47"/>
        <v>11</v>
      </c>
      <c r="C134" s="42">
        <f t="shared" si="62"/>
        <v>3.472222222222222E-3</v>
      </c>
      <c r="D134" s="61">
        <f t="shared" si="57"/>
        <v>0.72569444444444287</v>
      </c>
      <c r="E134" s="61">
        <f t="shared" si="58"/>
        <v>0.73958333333333171</v>
      </c>
      <c r="F134" s="42">
        <v>3.4722222222208902E-3</v>
      </c>
      <c r="G134" s="62">
        <f t="shared" si="59"/>
        <v>0.74305555555555258</v>
      </c>
      <c r="I134" s="74">
        <f t="shared" si="40"/>
        <v>12</v>
      </c>
      <c r="J134" s="42">
        <f t="shared" si="35"/>
        <v>3.472222222222222E-3</v>
      </c>
      <c r="K134" s="61">
        <f t="shared" si="60"/>
        <v>0.72916666666666508</v>
      </c>
      <c r="L134" s="61">
        <f t="shared" si="61"/>
        <v>0.74305555555555391</v>
      </c>
      <c r="M134" s="42">
        <v>3.472222222222222E-3</v>
      </c>
      <c r="N134" s="62">
        <f t="shared" si="51"/>
        <v>0.74652777777777612</v>
      </c>
    </row>
    <row r="135" spans="1:14" x14ac:dyDescent="0.3">
      <c r="A135" s="74">
        <v>124</v>
      </c>
      <c r="B135" s="41">
        <f t="shared" si="47"/>
        <v>4</v>
      </c>
      <c r="C135" s="42">
        <f t="shared" si="62"/>
        <v>3.472222222222222E-3</v>
      </c>
      <c r="D135" s="61">
        <f t="shared" si="57"/>
        <v>0.72916666666666508</v>
      </c>
      <c r="E135" s="61">
        <f t="shared" si="58"/>
        <v>0.74305555555555391</v>
      </c>
      <c r="F135" s="42">
        <v>3.4722222222208902E-3</v>
      </c>
      <c r="G135" s="62">
        <f t="shared" si="59"/>
        <v>0.74652777777777479</v>
      </c>
      <c r="I135" s="74">
        <f t="shared" si="40"/>
        <v>1</v>
      </c>
      <c r="J135" s="42">
        <f t="shared" si="35"/>
        <v>3.472222222222222E-3</v>
      </c>
      <c r="K135" s="61">
        <f t="shared" si="60"/>
        <v>0.73263888888888729</v>
      </c>
      <c r="L135" s="61">
        <f t="shared" si="61"/>
        <v>0.74652777777777612</v>
      </c>
      <c r="M135" s="42">
        <v>3.472222222222222E-3</v>
      </c>
      <c r="N135" s="62">
        <f t="shared" si="51"/>
        <v>0.74999999999999833</v>
      </c>
    </row>
    <row r="136" spans="1:14" x14ac:dyDescent="0.3">
      <c r="A136" s="74">
        <v>125</v>
      </c>
      <c r="B136" s="41">
        <f t="shared" si="47"/>
        <v>6</v>
      </c>
      <c r="C136" s="42">
        <f t="shared" si="62"/>
        <v>3.472222222222222E-3</v>
      </c>
      <c r="D136" s="61">
        <f t="shared" si="57"/>
        <v>0.73263888888888729</v>
      </c>
      <c r="E136" s="61">
        <f t="shared" si="58"/>
        <v>0.74652777777777612</v>
      </c>
      <c r="F136" s="42">
        <v>3.4722222222208902E-3</v>
      </c>
      <c r="G136" s="62">
        <f t="shared" si="59"/>
        <v>0.749999999999997</v>
      </c>
      <c r="I136" s="74">
        <f t="shared" si="40"/>
        <v>2</v>
      </c>
      <c r="J136" s="42">
        <f t="shared" si="35"/>
        <v>3.472222222222222E-3</v>
      </c>
      <c r="K136" s="61">
        <f t="shared" si="60"/>
        <v>0.7361111111111095</v>
      </c>
      <c r="L136" s="61">
        <f t="shared" si="61"/>
        <v>0.74999999999999833</v>
      </c>
      <c r="M136" s="42">
        <v>3.472222222222222E-3</v>
      </c>
      <c r="N136" s="62">
        <f t="shared" si="51"/>
        <v>0.75347222222222054</v>
      </c>
    </row>
    <row r="137" spans="1:14" x14ac:dyDescent="0.3">
      <c r="A137" s="74">
        <v>126</v>
      </c>
      <c r="B137" s="41">
        <f t="shared" si="47"/>
        <v>7</v>
      </c>
      <c r="C137" s="42">
        <f t="shared" si="62"/>
        <v>3.472222222222222E-3</v>
      </c>
      <c r="D137" s="61">
        <f t="shared" si="57"/>
        <v>0.7361111111111095</v>
      </c>
      <c r="E137" s="61">
        <f t="shared" si="58"/>
        <v>0.74999999999999833</v>
      </c>
      <c r="F137" s="42">
        <v>3.4722222222208902E-3</v>
      </c>
      <c r="G137" s="62">
        <f t="shared" si="59"/>
        <v>0.75347222222221921</v>
      </c>
      <c r="I137" s="74">
        <f t="shared" si="40"/>
        <v>3</v>
      </c>
      <c r="J137" s="42">
        <f t="shared" si="35"/>
        <v>3.472222222222222E-3</v>
      </c>
      <c r="K137" s="61">
        <f t="shared" si="60"/>
        <v>0.73958333333333171</v>
      </c>
      <c r="L137" s="61">
        <f t="shared" si="61"/>
        <v>0.75347222222222054</v>
      </c>
      <c r="M137" s="42">
        <v>3.472222222222222E-3</v>
      </c>
      <c r="N137" s="62">
        <f t="shared" si="51"/>
        <v>0.75694444444444275</v>
      </c>
    </row>
    <row r="138" spans="1:14" x14ac:dyDescent="0.3">
      <c r="A138" s="74">
        <v>127</v>
      </c>
      <c r="B138" s="41">
        <f t="shared" si="47"/>
        <v>10</v>
      </c>
      <c r="C138" s="42">
        <f t="shared" si="62"/>
        <v>3.472222222222222E-3</v>
      </c>
      <c r="D138" s="61">
        <f t="shared" si="57"/>
        <v>0.73958333333333171</v>
      </c>
      <c r="E138" s="61">
        <f t="shared" si="58"/>
        <v>0.75347222222222054</v>
      </c>
      <c r="F138" s="42">
        <v>3.4722222222208902E-3</v>
      </c>
      <c r="G138" s="62">
        <f t="shared" si="59"/>
        <v>0.75694444444444142</v>
      </c>
      <c r="I138" s="74">
        <f t="shared" si="40"/>
        <v>11</v>
      </c>
      <c r="J138" s="42">
        <f t="shared" si="35"/>
        <v>3.472222222222222E-3</v>
      </c>
      <c r="K138" s="61">
        <f t="shared" si="60"/>
        <v>0.74305555555555391</v>
      </c>
      <c r="L138" s="61">
        <f t="shared" si="61"/>
        <v>0.75694444444444275</v>
      </c>
      <c r="M138" s="42">
        <v>3.472222222222222E-3</v>
      </c>
      <c r="N138" s="62">
        <f t="shared" si="51"/>
        <v>0.76041666666666496</v>
      </c>
    </row>
    <row r="139" spans="1:14" x14ac:dyDescent="0.3">
      <c r="A139" s="74">
        <v>128</v>
      </c>
      <c r="B139" s="41">
        <f t="shared" si="47"/>
        <v>8</v>
      </c>
      <c r="C139" s="42">
        <f t="shared" si="62"/>
        <v>3.472222222222222E-3</v>
      </c>
      <c r="D139" s="61">
        <f t="shared" si="57"/>
        <v>0.74305555555555391</v>
      </c>
      <c r="E139" s="61">
        <f t="shared" si="58"/>
        <v>0.75694444444444275</v>
      </c>
      <c r="F139" s="42">
        <v>3.4722222222208902E-3</v>
      </c>
      <c r="G139" s="62">
        <f t="shared" si="59"/>
        <v>0.76041666666666363</v>
      </c>
      <c r="I139" s="74">
        <f t="shared" si="40"/>
        <v>4</v>
      </c>
      <c r="J139" s="42">
        <f t="shared" si="35"/>
        <v>3.472222222222222E-3</v>
      </c>
      <c r="K139" s="61">
        <f t="shared" si="60"/>
        <v>0.74652777777777612</v>
      </c>
      <c r="L139" s="61">
        <f t="shared" si="61"/>
        <v>0.76041666666666496</v>
      </c>
      <c r="M139" s="42">
        <v>3.472222222222222E-3</v>
      </c>
      <c r="N139" s="62">
        <f t="shared" si="51"/>
        <v>0.76388888888888717</v>
      </c>
    </row>
    <row r="140" spans="1:14" x14ac:dyDescent="0.3">
      <c r="A140" s="74">
        <v>129</v>
      </c>
      <c r="B140" s="41">
        <f t="shared" si="47"/>
        <v>12</v>
      </c>
      <c r="C140" s="42">
        <f t="shared" si="62"/>
        <v>3.472222222222222E-3</v>
      </c>
      <c r="D140" s="61">
        <f t="shared" si="57"/>
        <v>0.74652777777777612</v>
      </c>
      <c r="E140" s="61">
        <f t="shared" si="58"/>
        <v>0.76041666666666496</v>
      </c>
      <c r="F140" s="42">
        <v>3.4722222222208902E-3</v>
      </c>
      <c r="G140" s="62">
        <f t="shared" si="59"/>
        <v>0.76388888888888584</v>
      </c>
      <c r="I140" s="74">
        <f t="shared" si="40"/>
        <v>6</v>
      </c>
      <c r="J140" s="42">
        <f t="shared" si="35"/>
        <v>3.472222222222222E-3</v>
      </c>
      <c r="K140" s="61">
        <f t="shared" si="60"/>
        <v>0.74999999999999833</v>
      </c>
      <c r="L140" s="61">
        <f t="shared" si="61"/>
        <v>0.76388888888888717</v>
      </c>
      <c r="M140" s="42">
        <v>3.472222222222222E-3</v>
      </c>
      <c r="N140" s="62">
        <f t="shared" si="51"/>
        <v>0.76736111111110938</v>
      </c>
    </row>
    <row r="141" spans="1:14" x14ac:dyDescent="0.3">
      <c r="A141" s="74">
        <v>130</v>
      </c>
      <c r="B141" s="41">
        <f t="shared" si="47"/>
        <v>1</v>
      </c>
      <c r="C141" s="42">
        <f t="shared" si="62"/>
        <v>3.472222222222222E-3</v>
      </c>
      <c r="D141" s="61">
        <f t="shared" si="57"/>
        <v>0.74999999999999833</v>
      </c>
      <c r="E141" s="61">
        <f t="shared" si="58"/>
        <v>0.76388888888888717</v>
      </c>
      <c r="F141" s="42">
        <v>3.4722222222208902E-3</v>
      </c>
      <c r="G141" s="62">
        <f t="shared" si="59"/>
        <v>0.76736111111110805</v>
      </c>
      <c r="I141" s="74">
        <f t="shared" si="40"/>
        <v>7</v>
      </c>
      <c r="J141" s="42">
        <f t="shared" si="35"/>
        <v>3.472222222222222E-3</v>
      </c>
      <c r="K141" s="61">
        <f t="shared" si="60"/>
        <v>0.75347222222222054</v>
      </c>
      <c r="L141" s="61">
        <f t="shared" si="61"/>
        <v>0.76736111111110938</v>
      </c>
      <c r="M141" s="42">
        <v>3.472222222222222E-3</v>
      </c>
      <c r="N141" s="62">
        <f t="shared" si="51"/>
        <v>0.77083333333333159</v>
      </c>
    </row>
    <row r="142" spans="1:14" x14ac:dyDescent="0.3">
      <c r="A142" s="74">
        <v>131</v>
      </c>
      <c r="B142" s="41">
        <f t="shared" si="47"/>
        <v>2</v>
      </c>
      <c r="C142" s="42">
        <f t="shared" si="62"/>
        <v>3.472222222222222E-3</v>
      </c>
      <c r="D142" s="61">
        <f t="shared" si="57"/>
        <v>0.75347222222222054</v>
      </c>
      <c r="E142" s="61">
        <f t="shared" si="58"/>
        <v>0.76736111111110938</v>
      </c>
      <c r="F142" s="42">
        <v>3.4722222222208902E-3</v>
      </c>
      <c r="G142" s="62">
        <f t="shared" si="59"/>
        <v>0.77083333333333026</v>
      </c>
      <c r="I142" s="74">
        <f t="shared" si="40"/>
        <v>10</v>
      </c>
      <c r="J142" s="42">
        <f t="shared" ref="J142:J153" si="63">C142</f>
        <v>3.472222222222222E-3</v>
      </c>
      <c r="K142" s="61">
        <f t="shared" si="60"/>
        <v>0.75694444444444275</v>
      </c>
      <c r="L142" s="61">
        <f t="shared" si="61"/>
        <v>0.77083333333333159</v>
      </c>
      <c r="M142" s="42">
        <v>3.472222222222222E-3</v>
      </c>
      <c r="N142" s="62">
        <f t="shared" si="51"/>
        <v>0.7743055555555538</v>
      </c>
    </row>
    <row r="143" spans="1:14" x14ac:dyDescent="0.3">
      <c r="A143" s="74">
        <v>132</v>
      </c>
      <c r="B143" s="41">
        <f t="shared" si="47"/>
        <v>3</v>
      </c>
      <c r="C143" s="42">
        <f t="shared" si="62"/>
        <v>3.472222222222222E-3</v>
      </c>
      <c r="D143" s="61">
        <f t="shared" si="57"/>
        <v>0.75694444444444275</v>
      </c>
      <c r="E143" s="61">
        <f t="shared" si="58"/>
        <v>0.77083333333333159</v>
      </c>
      <c r="F143" s="42">
        <v>3.4722222222208902E-3</v>
      </c>
      <c r="G143" s="62">
        <f t="shared" si="59"/>
        <v>0.77430555555555247</v>
      </c>
      <c r="I143" s="74">
        <f t="shared" si="40"/>
        <v>8</v>
      </c>
      <c r="J143" s="42">
        <f t="shared" si="63"/>
        <v>3.472222222222222E-3</v>
      </c>
      <c r="K143" s="61">
        <f t="shared" si="60"/>
        <v>0.76041666666666496</v>
      </c>
      <c r="L143" s="61">
        <f t="shared" si="61"/>
        <v>0.7743055555555538</v>
      </c>
      <c r="M143" s="42">
        <v>3.472222222222222E-3</v>
      </c>
      <c r="N143" s="62">
        <f t="shared" si="51"/>
        <v>0.77777777777777601</v>
      </c>
    </row>
    <row r="144" spans="1:14" x14ac:dyDescent="0.3">
      <c r="A144" s="74">
        <v>133</v>
      </c>
      <c r="B144" s="41">
        <f t="shared" si="47"/>
        <v>11</v>
      </c>
      <c r="C144" s="42">
        <f t="shared" si="62"/>
        <v>3.472222222222222E-3</v>
      </c>
      <c r="D144" s="61">
        <f t="shared" si="57"/>
        <v>0.76041666666666496</v>
      </c>
      <c r="E144" s="61">
        <f t="shared" si="58"/>
        <v>0.7743055555555538</v>
      </c>
      <c r="F144" s="42">
        <v>3.4722222222208902E-3</v>
      </c>
      <c r="G144" s="62">
        <f t="shared" si="59"/>
        <v>0.77777777777777468</v>
      </c>
      <c r="I144" s="74">
        <f t="shared" si="40"/>
        <v>12</v>
      </c>
      <c r="J144" s="42">
        <f t="shared" si="63"/>
        <v>3.472222222222222E-3</v>
      </c>
      <c r="K144" s="61">
        <f t="shared" si="60"/>
        <v>0.76388888888888717</v>
      </c>
      <c r="L144" s="61">
        <f t="shared" si="61"/>
        <v>0.77777777777777601</v>
      </c>
      <c r="M144" s="42">
        <v>3.472222222222222E-3</v>
      </c>
      <c r="N144" s="62">
        <f t="shared" si="51"/>
        <v>0.78124999999999822</v>
      </c>
    </row>
    <row r="145" spans="1:14" x14ac:dyDescent="0.3">
      <c r="A145" s="74">
        <v>134</v>
      </c>
      <c r="B145" s="41">
        <f t="shared" si="47"/>
        <v>4</v>
      </c>
      <c r="C145" s="42">
        <f t="shared" si="62"/>
        <v>3.472222222222222E-3</v>
      </c>
      <c r="D145" s="61">
        <f t="shared" si="57"/>
        <v>0.76388888888888717</v>
      </c>
      <c r="E145" s="61">
        <f t="shared" si="58"/>
        <v>0.77777777777777601</v>
      </c>
      <c r="F145" s="42">
        <v>3.4722222222208902E-3</v>
      </c>
      <c r="G145" s="62">
        <f t="shared" si="59"/>
        <v>0.78124999999999689</v>
      </c>
      <c r="I145" s="74">
        <f t="shared" ref="I145:I178" si="64">B141</f>
        <v>1</v>
      </c>
      <c r="J145" s="42">
        <f t="shared" si="63"/>
        <v>3.472222222222222E-3</v>
      </c>
      <c r="K145" s="61">
        <f t="shared" si="60"/>
        <v>0.76736111111110938</v>
      </c>
      <c r="L145" s="61">
        <f t="shared" si="61"/>
        <v>0.78124999999999822</v>
      </c>
      <c r="M145" s="42">
        <v>3.472222222222222E-3</v>
      </c>
      <c r="N145" s="62">
        <f t="shared" si="51"/>
        <v>0.78472222222222043</v>
      </c>
    </row>
    <row r="146" spans="1:14" x14ac:dyDescent="0.3">
      <c r="A146" s="74">
        <v>135</v>
      </c>
      <c r="B146" s="41">
        <f t="shared" si="47"/>
        <v>6</v>
      </c>
      <c r="C146" s="42">
        <f t="shared" si="62"/>
        <v>3.472222222222222E-3</v>
      </c>
      <c r="D146" s="61">
        <f t="shared" si="57"/>
        <v>0.76736111111110938</v>
      </c>
      <c r="E146" s="61">
        <f t="shared" si="58"/>
        <v>0.78124999999999822</v>
      </c>
      <c r="F146" s="42">
        <v>3.4722222222208902E-3</v>
      </c>
      <c r="G146" s="62">
        <f t="shared" si="59"/>
        <v>0.7847222222222191</v>
      </c>
      <c r="I146" s="74">
        <f t="shared" si="64"/>
        <v>2</v>
      </c>
      <c r="J146" s="42">
        <f t="shared" si="63"/>
        <v>3.472222222222222E-3</v>
      </c>
      <c r="K146" s="61">
        <f t="shared" si="60"/>
        <v>0.77083333333333159</v>
      </c>
      <c r="L146" s="61">
        <f t="shared" si="61"/>
        <v>0.78472222222222043</v>
      </c>
      <c r="M146" s="42">
        <v>3.472222222222222E-3</v>
      </c>
      <c r="N146" s="64">
        <f t="shared" si="51"/>
        <v>0.78819444444444264</v>
      </c>
    </row>
    <row r="147" spans="1:14" x14ac:dyDescent="0.3">
      <c r="A147" s="74">
        <v>136</v>
      </c>
      <c r="B147" s="41">
        <f t="shared" si="47"/>
        <v>7</v>
      </c>
      <c r="C147" s="42">
        <f t="shared" si="62"/>
        <v>3.472222222222222E-3</v>
      </c>
      <c r="D147" s="61">
        <f t="shared" si="57"/>
        <v>0.77083333333333159</v>
      </c>
      <c r="E147" s="61">
        <f t="shared" si="58"/>
        <v>0.78472222222222043</v>
      </c>
      <c r="F147" s="42">
        <v>3.4722222222208902E-3</v>
      </c>
      <c r="G147" s="62">
        <f t="shared" si="59"/>
        <v>0.78819444444444131</v>
      </c>
      <c r="I147" s="74">
        <f t="shared" si="64"/>
        <v>3</v>
      </c>
      <c r="J147" s="42">
        <f t="shared" si="63"/>
        <v>3.472222222222222E-3</v>
      </c>
      <c r="K147" s="61">
        <f t="shared" si="60"/>
        <v>0.7743055555555538</v>
      </c>
      <c r="L147" s="67">
        <f t="shared" si="61"/>
        <v>0.78819444444444264</v>
      </c>
      <c r="M147" s="42">
        <v>3.472222222222222E-3</v>
      </c>
      <c r="N147" s="64">
        <f t="shared" si="51"/>
        <v>0.79166666666666485</v>
      </c>
    </row>
    <row r="148" spans="1:14" x14ac:dyDescent="0.3">
      <c r="A148" s="74">
        <v>137</v>
      </c>
      <c r="B148" s="41">
        <f t="shared" si="47"/>
        <v>10</v>
      </c>
      <c r="C148" s="42">
        <f t="shared" si="62"/>
        <v>3.472222222222222E-3</v>
      </c>
      <c r="D148" s="61">
        <f t="shared" si="57"/>
        <v>0.7743055555555538</v>
      </c>
      <c r="E148" s="61">
        <f t="shared" si="58"/>
        <v>0.78819444444444264</v>
      </c>
      <c r="F148" s="42">
        <v>3.4722222222208902E-3</v>
      </c>
      <c r="G148" s="62">
        <f t="shared" si="59"/>
        <v>0.79166666666666352</v>
      </c>
      <c r="I148" s="74">
        <f t="shared" si="64"/>
        <v>11</v>
      </c>
      <c r="J148" s="42">
        <f t="shared" si="63"/>
        <v>3.472222222222222E-3</v>
      </c>
      <c r="K148" s="61">
        <f t="shared" si="60"/>
        <v>0.77777777777777601</v>
      </c>
      <c r="L148" s="67">
        <f t="shared" si="61"/>
        <v>0.79166666666666485</v>
      </c>
      <c r="M148" s="42">
        <v>3.472222222222222E-3</v>
      </c>
      <c r="N148" s="64">
        <f t="shared" si="51"/>
        <v>0.79513888888888706</v>
      </c>
    </row>
    <row r="149" spans="1:14" x14ac:dyDescent="0.3">
      <c r="A149" s="74">
        <v>138</v>
      </c>
      <c r="B149" s="41">
        <f t="shared" si="47"/>
        <v>8</v>
      </c>
      <c r="C149" s="42">
        <f t="shared" si="62"/>
        <v>3.472222222222222E-3</v>
      </c>
      <c r="D149" s="61">
        <f t="shared" si="57"/>
        <v>0.77777777777777601</v>
      </c>
      <c r="E149" s="61">
        <f t="shared" si="58"/>
        <v>0.79166666666666485</v>
      </c>
      <c r="F149" s="42">
        <v>3.4722222222208902E-3</v>
      </c>
      <c r="G149" s="62">
        <f t="shared" si="59"/>
        <v>0.79513888888888573</v>
      </c>
      <c r="I149" s="74">
        <f t="shared" si="64"/>
        <v>4</v>
      </c>
      <c r="J149" s="42">
        <f t="shared" si="63"/>
        <v>3.472222222222222E-3</v>
      </c>
      <c r="K149" s="61">
        <f t="shared" si="60"/>
        <v>0.78124999999999822</v>
      </c>
      <c r="L149" s="67">
        <f t="shared" si="61"/>
        <v>0.79513888888888706</v>
      </c>
      <c r="M149" s="42">
        <v>3.472222222222222E-3</v>
      </c>
      <c r="N149" s="64">
        <f t="shared" si="51"/>
        <v>0.79861111111110927</v>
      </c>
    </row>
    <row r="150" spans="1:14" x14ac:dyDescent="0.3">
      <c r="A150" s="74">
        <v>139</v>
      </c>
      <c r="B150" s="41">
        <f t="shared" si="47"/>
        <v>12</v>
      </c>
      <c r="C150" s="42">
        <f t="shared" si="62"/>
        <v>3.472222222222222E-3</v>
      </c>
      <c r="D150" s="61">
        <f t="shared" si="57"/>
        <v>0.78124999999999822</v>
      </c>
      <c r="E150" s="61">
        <f t="shared" si="58"/>
        <v>0.79513888888888706</v>
      </c>
      <c r="F150" s="42">
        <v>3.4722222222208902E-3</v>
      </c>
      <c r="G150" s="62">
        <f t="shared" si="59"/>
        <v>0.79861111111110794</v>
      </c>
      <c r="I150" s="74">
        <f t="shared" si="64"/>
        <v>6</v>
      </c>
      <c r="J150" s="42">
        <f t="shared" si="63"/>
        <v>3.472222222222222E-3</v>
      </c>
      <c r="K150" s="61">
        <f t="shared" si="60"/>
        <v>0.78472222222222043</v>
      </c>
      <c r="L150" s="67">
        <f t="shared" si="61"/>
        <v>0.79861111111110927</v>
      </c>
      <c r="M150" s="42">
        <v>3.472222222222222E-3</v>
      </c>
      <c r="N150" s="64">
        <f t="shared" si="51"/>
        <v>0.80208333333333148</v>
      </c>
    </row>
    <row r="151" spans="1:14" x14ac:dyDescent="0.3">
      <c r="A151" s="74">
        <v>140</v>
      </c>
      <c r="B151" s="41">
        <f t="shared" si="47"/>
        <v>1</v>
      </c>
      <c r="C151" s="42">
        <f t="shared" si="62"/>
        <v>3.472222222222222E-3</v>
      </c>
      <c r="D151" s="61">
        <f t="shared" si="57"/>
        <v>0.78472222222222043</v>
      </c>
      <c r="E151" s="61">
        <f t="shared" si="58"/>
        <v>0.79861111111110927</v>
      </c>
      <c r="F151" s="42">
        <v>3.4722222222208902E-3</v>
      </c>
      <c r="G151" s="62">
        <f t="shared" si="59"/>
        <v>0.80208333333333015</v>
      </c>
      <c r="I151" s="74">
        <f t="shared" si="64"/>
        <v>7</v>
      </c>
      <c r="J151" s="42">
        <f t="shared" si="63"/>
        <v>3.472222222222222E-3</v>
      </c>
      <c r="K151" s="61">
        <f t="shared" si="60"/>
        <v>0.78819444444444264</v>
      </c>
      <c r="L151" s="67">
        <f t="shared" si="61"/>
        <v>0.80208333333333148</v>
      </c>
      <c r="M151" s="42">
        <v>3.472222222222222E-3</v>
      </c>
      <c r="N151" s="64">
        <f t="shared" si="51"/>
        <v>0.80555555555555369</v>
      </c>
    </row>
    <row r="152" spans="1:14" x14ac:dyDescent="0.3">
      <c r="A152" s="74">
        <v>141</v>
      </c>
      <c r="B152" s="41">
        <f t="shared" si="47"/>
        <v>2</v>
      </c>
      <c r="C152" s="42">
        <f t="shared" si="62"/>
        <v>3.472222222222222E-3</v>
      </c>
      <c r="D152" s="61">
        <f t="shared" si="57"/>
        <v>0.78819444444444264</v>
      </c>
      <c r="E152" s="61">
        <f t="shared" si="58"/>
        <v>0.80208333333333148</v>
      </c>
      <c r="F152" s="42">
        <v>3.4722222222208902E-3</v>
      </c>
      <c r="G152" s="62">
        <f t="shared" si="59"/>
        <v>0.80555555555555236</v>
      </c>
      <c r="I152" s="74">
        <f t="shared" si="64"/>
        <v>10</v>
      </c>
      <c r="J152" s="42">
        <f t="shared" si="63"/>
        <v>3.472222222222222E-3</v>
      </c>
      <c r="K152" s="61">
        <f t="shared" si="60"/>
        <v>0.79166666666666485</v>
      </c>
      <c r="L152" s="67">
        <f t="shared" si="61"/>
        <v>0.80555555555555369</v>
      </c>
      <c r="M152" s="42">
        <v>3.472222222222222E-3</v>
      </c>
      <c r="N152" s="64">
        <f t="shared" si="51"/>
        <v>0.8090277777777759</v>
      </c>
    </row>
    <row r="153" spans="1:14" x14ac:dyDescent="0.3">
      <c r="A153" s="82">
        <v>142</v>
      </c>
      <c r="B153" s="110">
        <f t="shared" si="47"/>
        <v>3</v>
      </c>
      <c r="C153" s="48">
        <f t="shared" si="62"/>
        <v>3.472222222222222E-3</v>
      </c>
      <c r="D153" s="63">
        <f t="shared" si="57"/>
        <v>0.79166666666666485</v>
      </c>
      <c r="E153" s="63">
        <f t="shared" si="58"/>
        <v>0.80555555555555369</v>
      </c>
      <c r="F153" s="42">
        <v>3.4722222222208902E-3</v>
      </c>
      <c r="G153" s="64">
        <f t="shared" si="59"/>
        <v>0.80902777777777457</v>
      </c>
      <c r="I153" s="74">
        <f t="shared" si="64"/>
        <v>8</v>
      </c>
      <c r="J153" s="42">
        <f t="shared" si="63"/>
        <v>3.472222222222222E-3</v>
      </c>
      <c r="K153" s="61">
        <f t="shared" si="60"/>
        <v>0.79513888888888706</v>
      </c>
      <c r="L153" s="67">
        <f t="shared" si="61"/>
        <v>0.8090277777777759</v>
      </c>
      <c r="M153" s="42">
        <v>3.472222222222222E-3</v>
      </c>
      <c r="N153" s="64">
        <f t="shared" si="51"/>
        <v>0.81249999999999811</v>
      </c>
    </row>
    <row r="154" spans="1:14" x14ac:dyDescent="0.3">
      <c r="A154" s="82">
        <v>143</v>
      </c>
      <c r="B154" s="110">
        <f t="shared" si="47"/>
        <v>11</v>
      </c>
      <c r="C154" s="48">
        <f t="shared" si="62"/>
        <v>3.472222222222222E-3</v>
      </c>
      <c r="D154" s="63">
        <f t="shared" si="57"/>
        <v>0.79513888888888706</v>
      </c>
      <c r="E154" s="63">
        <f t="shared" si="58"/>
        <v>0.8090277777777759</v>
      </c>
      <c r="F154" s="48">
        <v>3.4722222222208902E-3</v>
      </c>
      <c r="G154" s="64">
        <f t="shared" si="59"/>
        <v>0.81249999999999678</v>
      </c>
      <c r="I154" s="74">
        <f t="shared" si="64"/>
        <v>12</v>
      </c>
      <c r="J154" s="42">
        <v>3.472222222222222E-3</v>
      </c>
      <c r="K154" s="61">
        <f t="shared" si="60"/>
        <v>0.79861111111110927</v>
      </c>
      <c r="L154" s="67">
        <f t="shared" si="61"/>
        <v>0.81249999999999811</v>
      </c>
      <c r="M154" s="42">
        <v>3.472222222222222E-3</v>
      </c>
      <c r="N154" s="64">
        <f t="shared" si="51"/>
        <v>0.81597222222222032</v>
      </c>
    </row>
    <row r="155" spans="1:14" x14ac:dyDescent="0.3">
      <c r="A155" s="41">
        <v>144</v>
      </c>
      <c r="B155" s="41">
        <f t="shared" si="47"/>
        <v>4</v>
      </c>
      <c r="C155" s="42">
        <f t="shared" si="62"/>
        <v>3.472222222222222E-3</v>
      </c>
      <c r="D155" s="61">
        <f t="shared" si="57"/>
        <v>0.79861111111110927</v>
      </c>
      <c r="E155" s="61">
        <f t="shared" si="58"/>
        <v>0.81249999999999811</v>
      </c>
      <c r="F155" s="42">
        <v>3.472222222222222E-3</v>
      </c>
      <c r="G155" s="119">
        <f t="shared" si="59"/>
        <v>0.81597222222222032</v>
      </c>
      <c r="I155" s="74">
        <f t="shared" si="64"/>
        <v>1</v>
      </c>
      <c r="J155" s="42">
        <v>3.472222222222222E-3</v>
      </c>
      <c r="K155" s="61">
        <f t="shared" si="60"/>
        <v>0.80208333333333148</v>
      </c>
      <c r="L155" s="67">
        <f t="shared" si="61"/>
        <v>0.81597222222222032</v>
      </c>
      <c r="M155" s="42">
        <v>3.472222222222222E-3</v>
      </c>
      <c r="N155" s="64">
        <f t="shared" si="51"/>
        <v>0.81944444444444253</v>
      </c>
    </row>
    <row r="156" spans="1:14" x14ac:dyDescent="0.3">
      <c r="A156" s="41">
        <v>145</v>
      </c>
      <c r="B156" s="41">
        <f t="shared" si="47"/>
        <v>6</v>
      </c>
      <c r="C156" s="42">
        <f t="shared" si="62"/>
        <v>3.472222222222222E-3</v>
      </c>
      <c r="D156" s="61">
        <f t="shared" si="57"/>
        <v>0.80208333333333148</v>
      </c>
      <c r="E156" s="61">
        <f t="shared" si="58"/>
        <v>0.81597222222222032</v>
      </c>
      <c r="F156" s="42">
        <v>3.472222222222222E-3</v>
      </c>
      <c r="G156" s="119">
        <f t="shared" si="59"/>
        <v>0.81944444444444253</v>
      </c>
      <c r="I156" s="74">
        <f t="shared" si="64"/>
        <v>2</v>
      </c>
      <c r="J156" s="42">
        <v>3.472222222222222E-3</v>
      </c>
      <c r="K156" s="61">
        <f t="shared" si="60"/>
        <v>0.80555555555555369</v>
      </c>
      <c r="L156" s="61">
        <f t="shared" si="61"/>
        <v>0.81944444444444253</v>
      </c>
      <c r="M156" s="42">
        <v>3.472222222222222E-3</v>
      </c>
      <c r="N156" s="64">
        <f t="shared" si="51"/>
        <v>0.82291666666666474</v>
      </c>
    </row>
    <row r="157" spans="1:14" x14ac:dyDescent="0.3">
      <c r="A157" s="41">
        <v>146</v>
      </c>
      <c r="B157" s="41">
        <f t="shared" si="47"/>
        <v>7</v>
      </c>
      <c r="C157" s="42">
        <f t="shared" si="62"/>
        <v>3.472222222222222E-3</v>
      </c>
      <c r="D157" s="61">
        <f t="shared" si="57"/>
        <v>0.80555555555555369</v>
      </c>
      <c r="E157" s="61">
        <f t="shared" si="58"/>
        <v>0.81944444444444253</v>
      </c>
      <c r="F157" s="42">
        <v>3.472222222222222E-3</v>
      </c>
      <c r="G157" s="119">
        <f t="shared" si="59"/>
        <v>0.82291666666666474</v>
      </c>
      <c r="I157" s="111">
        <f t="shared" si="64"/>
        <v>3</v>
      </c>
      <c r="J157" s="112">
        <f>C155</f>
        <v>3.472222222222222E-3</v>
      </c>
      <c r="K157" s="113">
        <f t="shared" si="60"/>
        <v>0.8090277777777759</v>
      </c>
      <c r="L157" s="124">
        <f t="shared" si="61"/>
        <v>0.82291666666666474</v>
      </c>
      <c r="M157" s="42">
        <v>3.472222222222222E-3</v>
      </c>
      <c r="N157" s="64">
        <f t="shared" si="51"/>
        <v>0.82638888888888695</v>
      </c>
    </row>
    <row r="158" spans="1:14" x14ac:dyDescent="0.3">
      <c r="A158" s="41">
        <v>147</v>
      </c>
      <c r="B158" s="41">
        <f t="shared" si="47"/>
        <v>10</v>
      </c>
      <c r="C158" s="42">
        <f t="shared" si="62"/>
        <v>3.472222222222222E-3</v>
      </c>
      <c r="D158" s="61">
        <f t="shared" si="57"/>
        <v>0.8090277777777759</v>
      </c>
      <c r="E158" s="61">
        <f t="shared" si="58"/>
        <v>0.82291666666666474</v>
      </c>
      <c r="F158" s="42">
        <v>3.472222222222222E-3</v>
      </c>
      <c r="G158" s="119">
        <f t="shared" si="59"/>
        <v>0.82638888888888695</v>
      </c>
      <c r="I158" s="74">
        <f t="shared" si="64"/>
        <v>11</v>
      </c>
      <c r="J158" s="42">
        <f t="shared" ref="J158:J176" si="65">C156</f>
        <v>3.472222222222222E-3</v>
      </c>
      <c r="K158" s="61">
        <f t="shared" si="60"/>
        <v>0.81249999999999811</v>
      </c>
      <c r="L158" s="67">
        <f t="shared" si="61"/>
        <v>0.82638888888888695</v>
      </c>
      <c r="M158" s="42">
        <v>4.1666666666666666E-3</v>
      </c>
      <c r="N158" s="64">
        <f t="shared" si="51"/>
        <v>0.8305555555555536</v>
      </c>
    </row>
    <row r="159" spans="1:14" x14ac:dyDescent="0.3">
      <c r="A159" s="41">
        <v>148</v>
      </c>
      <c r="B159" s="41">
        <f t="shared" si="47"/>
        <v>8</v>
      </c>
      <c r="C159" s="42">
        <f t="shared" si="62"/>
        <v>3.472222222222222E-3</v>
      </c>
      <c r="D159" s="61">
        <f t="shared" si="57"/>
        <v>0.81249999999999811</v>
      </c>
      <c r="E159" s="61">
        <f t="shared" si="58"/>
        <v>0.82638888888888695</v>
      </c>
      <c r="F159" s="42">
        <v>3.472222222222222E-3</v>
      </c>
      <c r="G159" s="119">
        <f t="shared" si="59"/>
        <v>0.82986111111110916</v>
      </c>
      <c r="I159" s="74">
        <f t="shared" si="64"/>
        <v>4</v>
      </c>
      <c r="J159" s="42">
        <f t="shared" si="65"/>
        <v>3.472222222222222E-3</v>
      </c>
      <c r="K159" s="61">
        <f t="shared" si="60"/>
        <v>0.81597222222222032</v>
      </c>
      <c r="L159" s="67">
        <f t="shared" si="61"/>
        <v>0.82986111111110916</v>
      </c>
      <c r="M159" s="42">
        <v>4.8611111111111103E-3</v>
      </c>
      <c r="N159" s="64">
        <f t="shared" si="51"/>
        <v>0.83472222222222026</v>
      </c>
    </row>
    <row r="160" spans="1:14" x14ac:dyDescent="0.3">
      <c r="A160" s="41">
        <v>149</v>
      </c>
      <c r="B160" s="41">
        <f t="shared" si="47"/>
        <v>12</v>
      </c>
      <c r="C160" s="42">
        <f t="shared" si="62"/>
        <v>3.472222222222222E-3</v>
      </c>
      <c r="D160" s="61">
        <f t="shared" si="57"/>
        <v>0.81597222222222032</v>
      </c>
      <c r="E160" s="61">
        <f t="shared" si="58"/>
        <v>0.82986111111110916</v>
      </c>
      <c r="F160" s="42">
        <v>3.472222222222222E-3</v>
      </c>
      <c r="G160" s="119">
        <f t="shared" si="59"/>
        <v>0.83333333333333137</v>
      </c>
      <c r="I160" s="74">
        <f t="shared" si="64"/>
        <v>6</v>
      </c>
      <c r="J160" s="42">
        <f t="shared" si="65"/>
        <v>3.472222222222222E-3</v>
      </c>
      <c r="K160" s="61">
        <f t="shared" si="60"/>
        <v>0.81944444444444253</v>
      </c>
      <c r="L160" s="67">
        <f t="shared" si="61"/>
        <v>0.83333333333333137</v>
      </c>
      <c r="M160" s="42">
        <v>5.5555555555555497E-3</v>
      </c>
      <c r="N160" s="64">
        <f t="shared" si="51"/>
        <v>0.83888888888888691</v>
      </c>
    </row>
    <row r="161" spans="1:14" x14ac:dyDescent="0.3">
      <c r="A161" s="41">
        <v>150</v>
      </c>
      <c r="B161" s="41">
        <f t="shared" si="47"/>
        <v>1</v>
      </c>
      <c r="C161" s="42">
        <f t="shared" si="62"/>
        <v>3.472222222222222E-3</v>
      </c>
      <c r="D161" s="61">
        <f t="shared" si="57"/>
        <v>0.81944444444444253</v>
      </c>
      <c r="E161" s="61">
        <f t="shared" si="58"/>
        <v>0.83333333333333137</v>
      </c>
      <c r="F161" s="42">
        <v>3.472222222222222E-3</v>
      </c>
      <c r="G161" s="119">
        <f t="shared" si="59"/>
        <v>0.83680555555555358</v>
      </c>
      <c r="I161" s="74">
        <f t="shared" si="64"/>
        <v>7</v>
      </c>
      <c r="J161" s="42">
        <f t="shared" si="65"/>
        <v>3.472222222222222E-3</v>
      </c>
      <c r="K161" s="61">
        <f t="shared" si="60"/>
        <v>0.82291666666666474</v>
      </c>
      <c r="L161" s="67">
        <f t="shared" si="61"/>
        <v>0.83680555555555358</v>
      </c>
      <c r="M161" s="42">
        <v>6.2500000000000003E-3</v>
      </c>
      <c r="N161" s="64">
        <f t="shared" si="51"/>
        <v>0.84305555555555356</v>
      </c>
    </row>
    <row r="162" spans="1:14" x14ac:dyDescent="0.3">
      <c r="A162" s="41">
        <v>151</v>
      </c>
      <c r="B162" s="41">
        <f t="shared" si="47"/>
        <v>2</v>
      </c>
      <c r="C162" s="42">
        <f t="shared" si="62"/>
        <v>3.472222222222222E-3</v>
      </c>
      <c r="D162" s="61">
        <f t="shared" si="57"/>
        <v>0.82291666666666474</v>
      </c>
      <c r="E162" s="61">
        <f t="shared" si="58"/>
        <v>0.83680555555555358</v>
      </c>
      <c r="F162" s="42">
        <v>4.1666666666666666E-3</v>
      </c>
      <c r="G162" s="119">
        <f t="shared" si="59"/>
        <v>0.84097222222222023</v>
      </c>
      <c r="I162" s="74">
        <f t="shared" si="64"/>
        <v>10</v>
      </c>
      <c r="J162" s="42">
        <f t="shared" si="65"/>
        <v>3.472222222222222E-3</v>
      </c>
      <c r="K162" s="61">
        <f t="shared" si="60"/>
        <v>0.82638888888888695</v>
      </c>
      <c r="L162" s="67">
        <f t="shared" si="61"/>
        <v>0.84027777777777579</v>
      </c>
      <c r="M162" s="42">
        <v>6.9444444444444397E-3</v>
      </c>
      <c r="N162" s="64">
        <f t="shared" si="51"/>
        <v>0.84722222222222021</v>
      </c>
    </row>
    <row r="163" spans="1:14" ht="15" thickBot="1" x14ac:dyDescent="0.35">
      <c r="A163" s="110">
        <v>152</v>
      </c>
      <c r="B163" s="110">
        <f t="shared" si="47"/>
        <v>3</v>
      </c>
      <c r="C163" s="48">
        <f t="shared" si="62"/>
        <v>3.472222222222222E-3</v>
      </c>
      <c r="D163" s="63">
        <f t="shared" si="57"/>
        <v>0.82638888888888695</v>
      </c>
      <c r="E163" s="63">
        <f t="shared" si="58"/>
        <v>0.84027777777777579</v>
      </c>
      <c r="F163" s="48">
        <v>4.8611111111111103E-3</v>
      </c>
      <c r="G163" s="120">
        <f t="shared" si="59"/>
        <v>0.84513888888888689</v>
      </c>
      <c r="I163" s="74">
        <f t="shared" si="64"/>
        <v>8</v>
      </c>
      <c r="J163" s="42">
        <f t="shared" si="65"/>
        <v>3.472222222222222E-3</v>
      </c>
      <c r="K163" s="61">
        <f t="shared" si="60"/>
        <v>0.82986111111110916</v>
      </c>
      <c r="L163" s="67">
        <f t="shared" si="61"/>
        <v>0.843749999999998</v>
      </c>
      <c r="M163" s="42">
        <v>7.6388888888888904E-3</v>
      </c>
      <c r="N163" s="64">
        <f t="shared" si="51"/>
        <v>0.85138888888888686</v>
      </c>
    </row>
    <row r="164" spans="1:14" x14ac:dyDescent="0.3">
      <c r="A164" s="71">
        <v>153</v>
      </c>
      <c r="B164" s="72">
        <f t="shared" si="47"/>
        <v>11</v>
      </c>
      <c r="C164" s="54">
        <f>D$3</f>
        <v>4.1666666666666666E-3</v>
      </c>
      <c r="D164" s="55">
        <f t="shared" si="57"/>
        <v>0.8305555555555536</v>
      </c>
      <c r="E164" s="55">
        <f t="shared" si="58"/>
        <v>0.84444444444444244</v>
      </c>
      <c r="F164" s="54">
        <v>4.8611111111111103E-3</v>
      </c>
      <c r="G164" s="56">
        <f t="shared" si="59"/>
        <v>0.84930555555555354</v>
      </c>
      <c r="I164" s="74">
        <f t="shared" si="64"/>
        <v>12</v>
      </c>
      <c r="J164" s="42">
        <f t="shared" si="65"/>
        <v>3.472222222222222E-3</v>
      </c>
      <c r="K164" s="61">
        <f t="shared" si="60"/>
        <v>0.83333333333333137</v>
      </c>
      <c r="L164" s="67">
        <f t="shared" si="61"/>
        <v>0.84722222222222021</v>
      </c>
      <c r="M164" s="42">
        <v>8.3333333333333297E-3</v>
      </c>
      <c r="N164" s="64">
        <f t="shared" si="51"/>
        <v>0.85555555555555352</v>
      </c>
    </row>
    <row r="165" spans="1:14" ht="15" thickBot="1" x14ac:dyDescent="0.35">
      <c r="A165" s="74">
        <v>154</v>
      </c>
      <c r="B165" s="41">
        <f t="shared" si="47"/>
        <v>4</v>
      </c>
      <c r="C165" s="42">
        <f t="shared" ref="C165:C170" si="66">D$3</f>
        <v>4.1666666666666666E-3</v>
      </c>
      <c r="D165" s="61">
        <f t="shared" si="57"/>
        <v>0.83472222222222026</v>
      </c>
      <c r="E165" s="61">
        <f t="shared" si="58"/>
        <v>0.8486111111111091</v>
      </c>
      <c r="F165" s="42">
        <v>4.8611111111111103E-3</v>
      </c>
      <c r="G165" s="62">
        <f t="shared" si="59"/>
        <v>0.85347222222222019</v>
      </c>
      <c r="I165" s="82">
        <f t="shared" si="64"/>
        <v>1</v>
      </c>
      <c r="J165" s="48">
        <f t="shared" si="65"/>
        <v>3.472222222222222E-3</v>
      </c>
      <c r="K165" s="63">
        <f t="shared" si="60"/>
        <v>0.83680555555555358</v>
      </c>
      <c r="L165" s="86">
        <f t="shared" si="61"/>
        <v>0.85069444444444242</v>
      </c>
      <c r="M165" s="48">
        <v>9.7222222222222224E-3</v>
      </c>
      <c r="N165" s="64">
        <f t="shared" si="51"/>
        <v>0.86041666666666461</v>
      </c>
    </row>
    <row r="166" spans="1:14" x14ac:dyDescent="0.3">
      <c r="A166" s="74">
        <v>155</v>
      </c>
      <c r="B166" s="41">
        <f t="shared" si="47"/>
        <v>6</v>
      </c>
      <c r="C166" s="42">
        <f t="shared" si="66"/>
        <v>4.1666666666666666E-3</v>
      </c>
      <c r="D166" s="61">
        <f t="shared" si="57"/>
        <v>0.83888888888888691</v>
      </c>
      <c r="E166" s="61">
        <f t="shared" si="58"/>
        <v>0.85277777777777575</v>
      </c>
      <c r="F166" s="42">
        <v>4.8611111111111103E-3</v>
      </c>
      <c r="G166" s="62">
        <f t="shared" si="59"/>
        <v>0.85763888888888684</v>
      </c>
      <c r="I166" s="71">
        <f t="shared" si="64"/>
        <v>2</v>
      </c>
      <c r="J166" s="54">
        <f t="shared" si="65"/>
        <v>4.1666666666666666E-3</v>
      </c>
      <c r="K166" s="55">
        <f t="shared" si="60"/>
        <v>0.84097222222222023</v>
      </c>
      <c r="L166" s="55">
        <f t="shared" si="61"/>
        <v>0.85486111111110907</v>
      </c>
      <c r="M166" s="54">
        <v>1.0416666666666666E-2</v>
      </c>
      <c r="N166" s="56">
        <f t="shared" si="51"/>
        <v>0.8652777777777757</v>
      </c>
    </row>
    <row r="167" spans="1:14" x14ac:dyDescent="0.3">
      <c r="A167" s="74">
        <v>156</v>
      </c>
      <c r="B167" s="41">
        <f t="shared" si="47"/>
        <v>7</v>
      </c>
      <c r="C167" s="42">
        <f t="shared" si="66"/>
        <v>4.1666666666666666E-3</v>
      </c>
      <c r="D167" s="61">
        <f t="shared" si="57"/>
        <v>0.84305555555555356</v>
      </c>
      <c r="E167" s="61">
        <f t="shared" si="58"/>
        <v>0.8569444444444424</v>
      </c>
      <c r="F167" s="42">
        <v>4.8611111111111103E-3</v>
      </c>
      <c r="G167" s="62">
        <f t="shared" si="59"/>
        <v>0.86180555555555349</v>
      </c>
      <c r="I167" s="74">
        <f t="shared" si="64"/>
        <v>3</v>
      </c>
      <c r="J167" s="42">
        <f t="shared" si="65"/>
        <v>4.1666666666666666E-3</v>
      </c>
      <c r="K167" s="61">
        <f t="shared" si="60"/>
        <v>0.84513888888888689</v>
      </c>
      <c r="L167" s="61">
        <f t="shared" si="61"/>
        <v>0.85902777777777573</v>
      </c>
      <c r="M167" s="42">
        <v>1.1111111111111099E-2</v>
      </c>
      <c r="N167" s="62">
        <f t="shared" si="51"/>
        <v>0.8701388888888868</v>
      </c>
    </row>
    <row r="168" spans="1:14" ht="15" thickBot="1" x14ac:dyDescent="0.35">
      <c r="A168" s="74">
        <v>157</v>
      </c>
      <c r="B168" s="41">
        <f t="shared" si="47"/>
        <v>10</v>
      </c>
      <c r="C168" s="42">
        <f t="shared" si="66"/>
        <v>4.1666666666666666E-3</v>
      </c>
      <c r="D168" s="61">
        <f t="shared" si="57"/>
        <v>0.84722222222222021</v>
      </c>
      <c r="E168" s="61">
        <f t="shared" si="58"/>
        <v>0.86111111111110905</v>
      </c>
      <c r="F168" s="42">
        <v>5.5555555555555558E-3</v>
      </c>
      <c r="G168" s="62">
        <f t="shared" si="59"/>
        <v>0.86666666666666459</v>
      </c>
      <c r="I168" s="74">
        <f t="shared" si="64"/>
        <v>11</v>
      </c>
      <c r="J168" s="42">
        <f t="shared" si="65"/>
        <v>4.1666666666666666E-3</v>
      </c>
      <c r="K168" s="61">
        <f t="shared" si="60"/>
        <v>0.84930555555555354</v>
      </c>
      <c r="L168" s="61">
        <f t="shared" si="61"/>
        <v>0.86319444444444238</v>
      </c>
      <c r="M168" s="48">
        <v>1.18055555555556E-2</v>
      </c>
      <c r="N168" s="64">
        <f t="shared" si="51"/>
        <v>0.874999999999998</v>
      </c>
    </row>
    <row r="169" spans="1:14" x14ac:dyDescent="0.3">
      <c r="A169" s="74">
        <v>158</v>
      </c>
      <c r="B169" s="41">
        <f t="shared" si="47"/>
        <v>8</v>
      </c>
      <c r="C169" s="42">
        <f t="shared" si="66"/>
        <v>4.1666666666666666E-3</v>
      </c>
      <c r="D169" s="61">
        <f t="shared" si="57"/>
        <v>0.85138888888888686</v>
      </c>
      <c r="E169" s="61">
        <f t="shared" si="58"/>
        <v>0.8652777777777757</v>
      </c>
      <c r="F169" s="42">
        <v>6.2500000000000003E-3</v>
      </c>
      <c r="G169" s="62">
        <f t="shared" si="59"/>
        <v>0.87152777777777568</v>
      </c>
      <c r="I169" s="74">
        <f t="shared" si="64"/>
        <v>4</v>
      </c>
      <c r="J169" s="42">
        <f t="shared" si="65"/>
        <v>4.1666666666666666E-3</v>
      </c>
      <c r="K169" s="61">
        <f t="shared" si="60"/>
        <v>0.85347222222222019</v>
      </c>
      <c r="L169" s="67">
        <f t="shared" si="61"/>
        <v>0.86736111111110903</v>
      </c>
      <c r="M169" s="199" t="s">
        <v>85</v>
      </c>
      <c r="N169" s="200"/>
    </row>
    <row r="170" spans="1:14" ht="15" thickBot="1" x14ac:dyDescent="0.35">
      <c r="A170" s="75">
        <v>159</v>
      </c>
      <c r="B170" s="76">
        <f t="shared" si="47"/>
        <v>12</v>
      </c>
      <c r="C170" s="57">
        <f t="shared" si="66"/>
        <v>4.1666666666666666E-3</v>
      </c>
      <c r="D170" s="58">
        <f t="shared" si="57"/>
        <v>0.85555555555555352</v>
      </c>
      <c r="E170" s="58">
        <f t="shared" si="58"/>
        <v>0.86944444444444235</v>
      </c>
      <c r="F170" s="57">
        <v>6.9444444444444501E-3</v>
      </c>
      <c r="G170" s="59">
        <f t="shared" si="59"/>
        <v>0.87638888888888677</v>
      </c>
      <c r="I170" s="74">
        <f t="shared" si="64"/>
        <v>6</v>
      </c>
      <c r="J170" s="42">
        <f t="shared" si="65"/>
        <v>4.1666666666666666E-3</v>
      </c>
      <c r="K170" s="61">
        <f t="shared" si="60"/>
        <v>0.85763888888888684</v>
      </c>
      <c r="L170" s="67">
        <f t="shared" si="61"/>
        <v>0.87152777777777568</v>
      </c>
      <c r="M170" s="201"/>
      <c r="N170" s="202"/>
    </row>
    <row r="171" spans="1:14" ht="15" thickBot="1" x14ac:dyDescent="0.35">
      <c r="A171" s="71">
        <v>160</v>
      </c>
      <c r="B171" s="72">
        <f t="shared" ref="B171:B174" si="67">I165</f>
        <v>1</v>
      </c>
      <c r="C171" s="54">
        <f t="shared" ref="C171:C174" si="68">D$4</f>
        <v>4.8611111111111112E-3</v>
      </c>
      <c r="D171" s="55">
        <f t="shared" si="57"/>
        <v>0.86041666666666461</v>
      </c>
      <c r="E171" s="55">
        <f t="shared" si="58"/>
        <v>0.87430555555555345</v>
      </c>
      <c r="F171" s="54">
        <v>6.9444444444444501E-3</v>
      </c>
      <c r="G171" s="56">
        <f t="shared" si="59"/>
        <v>0.88124999999999787</v>
      </c>
      <c r="I171" s="75">
        <f t="shared" si="64"/>
        <v>7</v>
      </c>
      <c r="J171" s="57">
        <f t="shared" si="65"/>
        <v>4.1666666666666666E-3</v>
      </c>
      <c r="K171" s="58">
        <f t="shared" si="60"/>
        <v>0.86180555555555349</v>
      </c>
      <c r="L171" s="96">
        <f t="shared" si="61"/>
        <v>0.87569444444444233</v>
      </c>
      <c r="M171" s="201"/>
      <c r="N171" s="202"/>
    </row>
    <row r="172" spans="1:14" x14ac:dyDescent="0.3">
      <c r="A172" s="74">
        <v>161</v>
      </c>
      <c r="B172" s="41">
        <f t="shared" si="67"/>
        <v>2</v>
      </c>
      <c r="C172" s="42">
        <f t="shared" si="68"/>
        <v>4.8611111111111112E-3</v>
      </c>
      <c r="D172" s="61">
        <f t="shared" si="57"/>
        <v>0.8652777777777757</v>
      </c>
      <c r="E172" s="61">
        <f t="shared" si="58"/>
        <v>0.87916666666666454</v>
      </c>
      <c r="F172" s="42">
        <v>6.9444444444444501E-3</v>
      </c>
      <c r="G172" s="62">
        <f t="shared" si="59"/>
        <v>0.88611111111110896</v>
      </c>
      <c r="I172" s="111">
        <f t="shared" si="64"/>
        <v>10</v>
      </c>
      <c r="J172" s="112">
        <v>4.8611111111111112E-3</v>
      </c>
      <c r="K172" s="113">
        <f t="shared" si="60"/>
        <v>0.86666666666666459</v>
      </c>
      <c r="L172" s="124">
        <f t="shared" si="61"/>
        <v>0.88055555555555343</v>
      </c>
      <c r="M172" s="201"/>
      <c r="N172" s="202"/>
    </row>
    <row r="173" spans="1:14" x14ac:dyDescent="0.3">
      <c r="A173" s="74">
        <v>162</v>
      </c>
      <c r="B173" s="41">
        <f t="shared" si="67"/>
        <v>3</v>
      </c>
      <c r="C173" s="42">
        <f t="shared" si="68"/>
        <v>4.8611111111111112E-3</v>
      </c>
      <c r="D173" s="61">
        <f t="shared" si="57"/>
        <v>0.8701388888888868</v>
      </c>
      <c r="E173" s="61">
        <f t="shared" si="58"/>
        <v>0.88402777777777564</v>
      </c>
      <c r="F173" s="42">
        <v>6.9444444444444501E-3</v>
      </c>
      <c r="G173" s="62">
        <f t="shared" si="59"/>
        <v>0.89097222222222006</v>
      </c>
      <c r="I173" s="74">
        <f t="shared" si="64"/>
        <v>8</v>
      </c>
      <c r="J173" s="42">
        <f t="shared" si="65"/>
        <v>4.8611111111111112E-3</v>
      </c>
      <c r="K173" s="61">
        <f t="shared" si="60"/>
        <v>0.87152777777777568</v>
      </c>
      <c r="L173" s="67">
        <f t="shared" si="61"/>
        <v>0.88541666666666452</v>
      </c>
      <c r="M173" s="201"/>
      <c r="N173" s="202"/>
    </row>
    <row r="174" spans="1:14" ht="15" thickBot="1" x14ac:dyDescent="0.35">
      <c r="A174" s="75">
        <v>163</v>
      </c>
      <c r="B174" s="76">
        <f t="shared" si="67"/>
        <v>11</v>
      </c>
      <c r="C174" s="57">
        <f t="shared" si="68"/>
        <v>4.8611111111111112E-3</v>
      </c>
      <c r="D174" s="58">
        <f t="shared" si="57"/>
        <v>0.87499999999999789</v>
      </c>
      <c r="E174" s="58">
        <f t="shared" si="58"/>
        <v>0.88888888888888673</v>
      </c>
      <c r="F174" s="57">
        <v>6.9444444444444501E-3</v>
      </c>
      <c r="G174" s="59">
        <f t="shared" si="59"/>
        <v>0.89583333333333115</v>
      </c>
      <c r="I174" s="74">
        <f t="shared" si="64"/>
        <v>12</v>
      </c>
      <c r="J174" s="42">
        <f t="shared" si="65"/>
        <v>4.8611111111111112E-3</v>
      </c>
      <c r="K174" s="61">
        <f t="shared" si="60"/>
        <v>0.87638888888888677</v>
      </c>
      <c r="L174" s="67">
        <f t="shared" si="61"/>
        <v>0.89027777777777561</v>
      </c>
      <c r="M174" s="201"/>
      <c r="N174" s="202"/>
    </row>
    <row r="175" spans="1:14" x14ac:dyDescent="0.3">
      <c r="I175" s="74">
        <f t="shared" si="64"/>
        <v>1</v>
      </c>
      <c r="J175" s="42">
        <f t="shared" si="65"/>
        <v>4.8611111111111112E-3</v>
      </c>
      <c r="K175" s="61">
        <f t="shared" si="60"/>
        <v>0.88124999999999787</v>
      </c>
      <c r="L175" s="67">
        <f t="shared" si="61"/>
        <v>0.89513888888888671</v>
      </c>
      <c r="M175" s="201"/>
      <c r="N175" s="202"/>
    </row>
    <row r="176" spans="1:14" x14ac:dyDescent="0.3">
      <c r="I176" s="74">
        <f t="shared" si="64"/>
        <v>2</v>
      </c>
      <c r="J176" s="42">
        <f t="shared" si="65"/>
        <v>4.8611111111111112E-3</v>
      </c>
      <c r="K176" s="61">
        <f t="shared" si="60"/>
        <v>0.88611111111110896</v>
      </c>
      <c r="L176" s="67">
        <f t="shared" si="61"/>
        <v>0.8999999999999978</v>
      </c>
      <c r="M176" s="201"/>
      <c r="N176" s="202"/>
    </row>
    <row r="177" spans="9:14" x14ac:dyDescent="0.3">
      <c r="I177" s="74">
        <f t="shared" si="64"/>
        <v>3</v>
      </c>
      <c r="J177" s="42">
        <v>4.8611111111111112E-3</v>
      </c>
      <c r="K177" s="61">
        <f t="shared" ref="K177:K178" si="69">K176+J177</f>
        <v>0.89097222222222006</v>
      </c>
      <c r="L177" s="67">
        <f t="shared" ref="L177:L178" si="70">K177+$J$6</f>
        <v>0.9048611111111089</v>
      </c>
      <c r="M177" s="201"/>
      <c r="N177" s="202"/>
    </row>
    <row r="178" spans="9:14" ht="15" thickBot="1" x14ac:dyDescent="0.35">
      <c r="I178" s="75">
        <f t="shared" si="64"/>
        <v>11</v>
      </c>
      <c r="J178" s="57">
        <v>4.8611111111111112E-3</v>
      </c>
      <c r="K178" s="58">
        <f t="shared" si="69"/>
        <v>0.89583333333333115</v>
      </c>
      <c r="L178" s="96">
        <f t="shared" si="70"/>
        <v>0.90972222222221999</v>
      </c>
      <c r="M178" s="203"/>
      <c r="N178" s="204"/>
    </row>
  </sheetData>
  <mergeCells count="8">
    <mergeCell ref="M169:N178"/>
    <mergeCell ref="M99:N99"/>
    <mergeCell ref="M13:N13"/>
    <mergeCell ref="R51:S51"/>
    <mergeCell ref="A10:G10"/>
    <mergeCell ref="I10:N10"/>
    <mergeCell ref="M44:N44"/>
    <mergeCell ref="M12:N12"/>
  </mergeCells>
  <pageMargins left="0.7" right="0.7" top="0.75" bottom="0.75" header="0.3" footer="0.3"/>
  <pageSetup scale="61" orientation="portrait" r:id="rId1"/>
  <rowBreaks count="1" manualBreakCount="1">
    <brk id="66" max="13" man="1"/>
  </rowBreaks>
  <colBreaks count="1" manualBreakCount="1">
    <brk id="7" min="9" max="13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35424-A9E7-4E19-9D03-6C46E5923486}">
  <dimension ref="E3:G5"/>
  <sheetViews>
    <sheetView workbookViewId="0">
      <selection activeCell="F5" sqref="F5"/>
    </sheetView>
  </sheetViews>
  <sheetFormatPr defaultRowHeight="14.4" x14ac:dyDescent="0.3"/>
  <sheetData>
    <row r="3" spans="5:7" x14ac:dyDescent="0.3">
      <c r="E3">
        <v>19.672999999999998</v>
      </c>
      <c r="F3">
        <v>148</v>
      </c>
      <c r="G3">
        <f>F3*E3</f>
        <v>2911.6039999999998</v>
      </c>
    </row>
    <row r="4" spans="5:7" x14ac:dyDescent="0.3">
      <c r="E4">
        <v>4.74</v>
      </c>
      <c r="F4">
        <v>288</v>
      </c>
      <c r="G4">
        <f>F4*E4</f>
        <v>1365.1200000000001</v>
      </c>
    </row>
    <row r="5" spans="5:7" x14ac:dyDescent="0.3">
      <c r="G5">
        <f>G3-G4</f>
        <v>1546.4839999999997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Direct Route-3A Tue, Wed &amp; Fri</vt:lpstr>
      <vt:lpstr>DETAILS</vt:lpstr>
      <vt:lpstr>Sheet1</vt:lpstr>
      <vt:lpstr>DETAILS!Print_Area</vt:lpstr>
      <vt:lpstr>'Direct Route-3A Tue, Wed &amp; Fri'!Print_Area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METROTRAIN</dc:creator>
  <cp:lastModifiedBy>Faizan TP</cp:lastModifiedBy>
  <cp:lastPrinted>2020-08-21T11:03:00Z</cp:lastPrinted>
  <dcterms:created xsi:type="dcterms:W3CDTF">2017-05-13T10:00:22Z</dcterms:created>
  <dcterms:modified xsi:type="dcterms:W3CDTF">2025-07-30T06:20:07Z</dcterms:modified>
</cp:coreProperties>
</file>